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eilidemarais/Projects/Linaria_specProj/data_in/"/>
    </mc:Choice>
  </mc:AlternateContent>
  <xr:revisionPtr revIDLastSave="0" documentId="13_ncr:1_{3BAA68D3-2D69-B64A-BB97-BDB115E43955}" xr6:coauthVersionLast="47" xr6:coauthVersionMax="47" xr10:uidLastSave="{00000000-0000-0000-0000-000000000000}"/>
  <bookViews>
    <workbookView xWindow="680" yWindow="500" windowWidth="27800" windowHeight="16460" activeTab="1" xr2:uid="{6BACFD45-B854-2545-AAC8-6F8DDD5EE4D8}"/>
  </bookViews>
  <sheets>
    <sheet name="Planning" sheetId="1" r:id="rId1"/>
    <sheet name="shoot_data" sheetId="2" r:id="rId2"/>
    <sheet name="03_03_2026_raw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3" i="4" l="1"/>
  <c r="V4" i="4"/>
  <c r="V5" i="4"/>
  <c r="V6" i="4"/>
  <c r="V7" i="4"/>
  <c r="V8" i="4"/>
  <c r="V9" i="4"/>
  <c r="V10" i="4"/>
  <c r="V11" i="4"/>
  <c r="V12" i="4"/>
  <c r="V13" i="4"/>
  <c r="V14" i="4"/>
  <c r="V15" i="4"/>
  <c r="V16" i="4"/>
  <c r="V17" i="4"/>
  <c r="V18" i="4"/>
  <c r="V19" i="4"/>
  <c r="V20" i="4"/>
  <c r="V21" i="4"/>
  <c r="V22" i="4"/>
  <c r="V23" i="4"/>
  <c r="V24" i="4"/>
  <c r="V25" i="4"/>
  <c r="V26" i="4"/>
  <c r="V27" i="4"/>
  <c r="V28" i="4"/>
  <c r="V29" i="4"/>
  <c r="V30" i="4"/>
  <c r="V31" i="4"/>
  <c r="V32" i="4"/>
  <c r="V33" i="4"/>
  <c r="V34" i="4"/>
  <c r="V35" i="4"/>
  <c r="V36" i="4"/>
  <c r="V37" i="4"/>
  <c r="V38" i="4"/>
  <c r="V39" i="4"/>
  <c r="V2" i="4"/>
  <c r="T39" i="4"/>
  <c r="U39" i="4"/>
  <c r="T3" i="4"/>
  <c r="U3" i="4"/>
  <c r="T4" i="4"/>
  <c r="U4" i="4"/>
  <c r="T5" i="4"/>
  <c r="U5" i="4"/>
  <c r="T6" i="4"/>
  <c r="U6" i="4"/>
  <c r="T7" i="4"/>
  <c r="U7" i="4"/>
  <c r="T8" i="4"/>
  <c r="U8" i="4"/>
  <c r="T9" i="4"/>
  <c r="U9" i="4"/>
  <c r="T10" i="4"/>
  <c r="U10" i="4"/>
  <c r="T11" i="4"/>
  <c r="U11" i="4"/>
  <c r="T12" i="4"/>
  <c r="U12" i="4"/>
  <c r="T13" i="4"/>
  <c r="U13" i="4"/>
  <c r="T14" i="4"/>
  <c r="U14" i="4"/>
  <c r="T15" i="4"/>
  <c r="U15" i="4"/>
  <c r="T16" i="4"/>
  <c r="U16" i="4"/>
  <c r="T17" i="4"/>
  <c r="U17" i="4"/>
  <c r="T18" i="4"/>
  <c r="U18" i="4"/>
  <c r="T19" i="4"/>
  <c r="U19" i="4"/>
  <c r="T20" i="4"/>
  <c r="U20" i="4"/>
  <c r="T21" i="4"/>
  <c r="U21" i="4"/>
  <c r="T22" i="4"/>
  <c r="U22" i="4"/>
  <c r="T23" i="4"/>
  <c r="U23" i="4"/>
  <c r="T24" i="4"/>
  <c r="U24" i="4"/>
  <c r="T25" i="4"/>
  <c r="U25" i="4"/>
  <c r="T26" i="4"/>
  <c r="U26" i="4"/>
  <c r="T27" i="4"/>
  <c r="U27" i="4"/>
  <c r="T28" i="4"/>
  <c r="U28" i="4"/>
  <c r="T29" i="4"/>
  <c r="U29" i="4"/>
  <c r="T30" i="4"/>
  <c r="U30" i="4"/>
  <c r="T31" i="4"/>
  <c r="U31" i="4"/>
  <c r="T32" i="4"/>
  <c r="U32" i="4"/>
  <c r="T33" i="4"/>
  <c r="U33" i="4"/>
  <c r="T34" i="4"/>
  <c r="U34" i="4"/>
  <c r="T35" i="4"/>
  <c r="U35" i="4"/>
  <c r="T36" i="4"/>
  <c r="U36" i="4"/>
  <c r="T37" i="4"/>
  <c r="U37" i="4"/>
  <c r="T38" i="4"/>
  <c r="U38" i="4"/>
  <c r="T2" i="4"/>
  <c r="U2" i="4"/>
</calcChain>
</file>

<file path=xl/sharedStrings.xml><?xml version="1.0" encoding="utf-8"?>
<sst xmlns="http://schemas.openxmlformats.org/spreadsheetml/2006/main" count="109" uniqueCount="70">
  <si>
    <t>Collaborators: Jackson Strand and Ceili DeMarais</t>
  </si>
  <si>
    <r>
      <t xml:space="preserve">*Organization sheet for "proof of concept" experiment with </t>
    </r>
    <r>
      <rPr>
        <b/>
        <i/>
        <sz val="12"/>
        <color theme="1"/>
        <rFont val="Aptos Narrow"/>
        <scheme val="minor"/>
      </rPr>
      <t>Linaria dalmatica*</t>
    </r>
  </si>
  <si>
    <t xml:space="preserve">Questions: </t>
  </si>
  <si>
    <t xml:space="preserve">What we think: </t>
  </si>
  <si>
    <t xml:space="preserve">Ref: </t>
  </si>
  <si>
    <t xml:space="preserve">Why: </t>
  </si>
  <si>
    <r>
      <t xml:space="preserve">To what extent can foliar spectroscopy discriminate between types of above-ground plant damage in </t>
    </r>
    <r>
      <rPr>
        <i/>
        <sz val="12"/>
        <color theme="1"/>
        <rFont val="Aptos Narrow"/>
        <scheme val="minor"/>
      </rPr>
      <t>Linaria dalmatica</t>
    </r>
    <r>
      <rPr>
        <sz val="12"/>
        <color theme="1"/>
        <rFont val="Aptos Narrow"/>
        <scheme val="minor"/>
      </rPr>
      <t xml:space="preserve">, a wide-spread perennial weed, in subsequent regrowth? </t>
    </r>
  </si>
  <si>
    <t xml:space="preserve">To what extent can foliar spectroscopy detect upregulation of defenses in damaged and undamaged leaves? </t>
  </si>
  <si>
    <t xml:space="preserve">What regions of the spectrum drive discrimination and what is "reflected" in these wavelengths? </t>
  </si>
  <si>
    <t xml:space="preserve">Data to collect: </t>
  </si>
  <si>
    <r>
      <t xml:space="preserve">Do </t>
    </r>
    <r>
      <rPr>
        <i/>
        <sz val="12"/>
        <color theme="1"/>
        <rFont val="Aptos Narrow"/>
        <scheme val="minor"/>
      </rPr>
      <t>Linaria dalmatica</t>
    </r>
    <r>
      <rPr>
        <sz val="12"/>
        <color theme="1"/>
        <rFont val="Aptos Narrow"/>
        <scheme val="minor"/>
      </rPr>
      <t xml:space="preserve"> respond differently to differing types of above-ground damage? (ex. Localized foliar damage vs entire stalk grazing)</t>
    </r>
  </si>
  <si>
    <t xml:space="preserve">Reflectance 2: Within 1 hour of damage on undamaged leaves across groups, as well as damaged leaves in the foliar herbivory group. </t>
  </si>
  <si>
    <t>Reflectance 3: 6-8 hours after damage on same leaves as above</t>
  </si>
  <si>
    <t>Reflectance 4: One week after damage on same leaves, as well as on a new subset of regrowth if available</t>
  </si>
  <si>
    <t xml:space="preserve">Reflectance 1: Before damage (foliar and canopy) </t>
  </si>
  <si>
    <t xml:space="preserve">Reflectance 5: 1 week increments on same subsets with focus on the new growth </t>
  </si>
  <si>
    <t>Reflectance 6: Final canopy and foliar reflectance measurements before harvest</t>
  </si>
  <si>
    <t xml:space="preserve">Aphids: </t>
  </si>
  <si>
    <t xml:space="preserve">Height: beginning and at weekly increments? </t>
  </si>
  <si>
    <t xml:space="preserve">Above/below ground biomass: end of harvest </t>
  </si>
  <si>
    <t>Leaf area: end of harvest</t>
  </si>
  <si>
    <t>ID</t>
  </si>
  <si>
    <t>number_shoots</t>
  </si>
  <si>
    <t>avg_height</t>
  </si>
  <si>
    <t>notes</t>
  </si>
  <si>
    <t>date</t>
  </si>
  <si>
    <t>th6</t>
  </si>
  <si>
    <t>th4</t>
  </si>
  <si>
    <t>th7</t>
  </si>
  <si>
    <t>th2</t>
  </si>
  <si>
    <t>lc12</t>
  </si>
  <si>
    <t>lc1</t>
  </si>
  <si>
    <t>lc6</t>
  </si>
  <si>
    <t>lc8</t>
  </si>
  <si>
    <t>lc7</t>
  </si>
  <si>
    <t>th1</t>
  </si>
  <si>
    <t>th8</t>
  </si>
  <si>
    <t>th10</t>
  </si>
  <si>
    <t>c8</t>
  </si>
  <si>
    <t>c5</t>
  </si>
  <si>
    <t>c9</t>
  </si>
  <si>
    <t>th5</t>
  </si>
  <si>
    <t>c4</t>
  </si>
  <si>
    <t>c3</t>
  </si>
  <si>
    <t>th13</t>
  </si>
  <si>
    <t>th9</t>
  </si>
  <si>
    <t>c12</t>
  </si>
  <si>
    <t>c7</t>
  </si>
  <si>
    <t>c2</t>
  </si>
  <si>
    <t>c6</t>
  </si>
  <si>
    <t>c13</t>
  </si>
  <si>
    <t>c1</t>
  </si>
  <si>
    <t>th11</t>
  </si>
  <si>
    <t>lc3</t>
  </si>
  <si>
    <t>th12</t>
  </si>
  <si>
    <t>th3</t>
  </si>
  <si>
    <t>lc13</t>
  </si>
  <si>
    <t>lc2</t>
  </si>
  <si>
    <t>lc10</t>
  </si>
  <si>
    <t>lc5</t>
  </si>
  <si>
    <t>c10</t>
  </si>
  <si>
    <t>lc11</t>
  </si>
  <si>
    <t>lc9</t>
  </si>
  <si>
    <t>lc4</t>
  </si>
  <si>
    <t>plant</t>
  </si>
  <si>
    <t>main</t>
  </si>
  <si>
    <t>Average</t>
  </si>
  <si>
    <t>Count</t>
  </si>
  <si>
    <t>Median</t>
  </si>
  <si>
    <t>median_height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</si>
</sst>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Aptos Narrow"/>
      <family val="2"/>
      <scheme val="minor"/>
    </font>
    <font>
      <i/>
      <sz val="12"/>
      <color theme="1"/>
      <name val="Aptos Narrow"/>
      <scheme val="minor"/>
    </font>
    <font>
      <sz val="12"/>
      <color theme="1"/>
      <name val="Aptos Narrow"/>
      <scheme val="minor"/>
    </font>
    <font>
      <b/>
      <sz val="12"/>
      <color theme="1"/>
      <name val="Aptos Narrow"/>
      <scheme val="minor"/>
    </font>
    <font>
      <b/>
      <i/>
      <sz val="12"/>
      <color theme="1"/>
      <name val="Aptos Narrow"/>
      <scheme val="minor"/>
    </font>
    <font>
      <sz val="12"/>
      <color rgb="FF00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3" fillId="0" borderId="0" xfId="0" applyFont="1"/>
    <xf numFmtId="0" fontId="0" fillId="0" borderId="0" xfId="0" applyAlignment="1">
      <alignment wrapText="1"/>
    </xf>
    <xf numFmtId="16" fontId="0" fillId="0" borderId="0" xfId="0" applyNumberFormat="1"/>
    <xf numFmtId="0" fontId="5" fillId="0" borderId="0" xfId="0" applyFont="1"/>
    <xf numFmtId="2" fontId="0" fillId="0" borderId="0" xfId="0" applyNumberFormat="1"/>
    <xf numFmtId="2" fontId="5" fillId="0" borderId="0" xfId="0" applyNumberFormat="1" applyFont="1"/>
    <xf numFmtId="0" fontId="3" fillId="0" borderId="1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55440A-5974-5945-989C-69EF6806CA05}">
  <dimension ref="A1:E23"/>
  <sheetViews>
    <sheetView topLeftCell="A9" zoomScale="150" workbookViewId="0">
      <selection activeCell="A21" sqref="A21"/>
    </sheetView>
  </sheetViews>
  <sheetFormatPr baseColWidth="10" defaultRowHeight="16" x14ac:dyDescent="0.2"/>
  <cols>
    <col min="1" max="1" width="65.5" customWidth="1"/>
    <col min="2" max="2" width="26.5" customWidth="1"/>
    <col min="3" max="3" width="35" customWidth="1"/>
  </cols>
  <sheetData>
    <row r="1" spans="1:5" x14ac:dyDescent="0.2">
      <c r="A1" s="1" t="s">
        <v>1</v>
      </c>
    </row>
    <row r="2" spans="1:5" x14ac:dyDescent="0.2">
      <c r="A2" t="s">
        <v>0</v>
      </c>
    </row>
    <row r="4" spans="1:5" x14ac:dyDescent="0.2">
      <c r="A4" s="1" t="s">
        <v>2</v>
      </c>
      <c r="B4" t="s">
        <v>3</v>
      </c>
      <c r="C4" t="s">
        <v>4</v>
      </c>
      <c r="E4" s="1"/>
    </row>
    <row r="5" spans="1:5" ht="51" x14ac:dyDescent="0.2">
      <c r="A5" s="2" t="s">
        <v>6</v>
      </c>
    </row>
    <row r="6" spans="1:5" ht="34" x14ac:dyDescent="0.2">
      <c r="A6" s="2" t="s">
        <v>7</v>
      </c>
    </row>
    <row r="7" spans="1:5" ht="34" x14ac:dyDescent="0.2">
      <c r="A7" s="2" t="s">
        <v>8</v>
      </c>
    </row>
    <row r="8" spans="1:5" ht="34" x14ac:dyDescent="0.2">
      <c r="A8" s="2" t="s">
        <v>10</v>
      </c>
    </row>
    <row r="12" spans="1:5" x14ac:dyDescent="0.2">
      <c r="A12" s="1" t="s">
        <v>9</v>
      </c>
      <c r="B12" t="s">
        <v>5</v>
      </c>
      <c r="C12" t="s">
        <v>4</v>
      </c>
    </row>
    <row r="13" spans="1:5" x14ac:dyDescent="0.2">
      <c r="A13" t="s">
        <v>14</v>
      </c>
    </row>
    <row r="14" spans="1:5" ht="34" x14ac:dyDescent="0.2">
      <c r="A14" s="2" t="s">
        <v>11</v>
      </c>
    </row>
    <row r="15" spans="1:5" x14ac:dyDescent="0.2">
      <c r="A15" t="s">
        <v>12</v>
      </c>
    </row>
    <row r="16" spans="1:5" ht="34" x14ac:dyDescent="0.2">
      <c r="A16" s="2" t="s">
        <v>13</v>
      </c>
    </row>
    <row r="17" spans="1:1" x14ac:dyDescent="0.2">
      <c r="A17" t="s">
        <v>15</v>
      </c>
    </row>
    <row r="18" spans="1:1" x14ac:dyDescent="0.2">
      <c r="A18" t="s">
        <v>16</v>
      </c>
    </row>
    <row r="20" spans="1:1" x14ac:dyDescent="0.2">
      <c r="A20" t="s">
        <v>17</v>
      </c>
    </row>
    <row r="21" spans="1:1" x14ac:dyDescent="0.2">
      <c r="A21" t="s">
        <v>18</v>
      </c>
    </row>
    <row r="22" spans="1:1" x14ac:dyDescent="0.2">
      <c r="A22" t="s">
        <v>19</v>
      </c>
    </row>
    <row r="23" spans="1:1" x14ac:dyDescent="0.2">
      <c r="A23" t="s">
        <v>20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9B5938-6A16-E341-967A-E2B10835D22E}">
  <dimension ref="A1:F39"/>
  <sheetViews>
    <sheetView tabSelected="1" workbookViewId="0">
      <selection activeCell="I9" sqref="I9"/>
    </sheetView>
  </sheetViews>
  <sheetFormatPr baseColWidth="10" defaultRowHeight="16" x14ac:dyDescent="0.2"/>
  <cols>
    <col min="1" max="1" width="9.33203125" customWidth="1"/>
    <col min="3" max="3" width="16.33203125" customWidth="1"/>
    <col min="4" max="4" width="16" customWidth="1"/>
    <col min="5" max="5" width="18" customWidth="1"/>
  </cols>
  <sheetData>
    <row r="1" spans="1:6" x14ac:dyDescent="0.2">
      <c r="A1" s="7" t="s">
        <v>25</v>
      </c>
      <c r="B1" s="7" t="s">
        <v>21</v>
      </c>
      <c r="C1" s="7" t="s">
        <v>22</v>
      </c>
      <c r="D1" s="7" t="s">
        <v>23</v>
      </c>
      <c r="E1" s="7" t="s">
        <v>69</v>
      </c>
      <c r="F1" s="7" t="s">
        <v>24</v>
      </c>
    </row>
    <row r="2" spans="1:6" x14ac:dyDescent="0.2">
      <c r="A2" s="3">
        <v>46084</v>
      </c>
      <c r="B2" t="s">
        <v>26</v>
      </c>
      <c r="C2" s="4">
        <v>5</v>
      </c>
      <c r="D2" s="6">
        <v>9.86</v>
      </c>
      <c r="E2" s="6">
        <v>7.9</v>
      </c>
    </row>
    <row r="3" spans="1:6" x14ac:dyDescent="0.2">
      <c r="A3" s="3">
        <v>46084</v>
      </c>
      <c r="B3" t="s">
        <v>27</v>
      </c>
      <c r="C3" s="4">
        <v>9</v>
      </c>
      <c r="D3" s="6">
        <v>10.4</v>
      </c>
      <c r="E3" s="6">
        <v>8.4</v>
      </c>
    </row>
    <row r="4" spans="1:6" x14ac:dyDescent="0.2">
      <c r="A4" s="3">
        <v>46084</v>
      </c>
      <c r="B4" t="s">
        <v>28</v>
      </c>
      <c r="C4" s="4">
        <v>7</v>
      </c>
      <c r="D4" s="6">
        <v>12.34</v>
      </c>
      <c r="E4" s="6">
        <v>11</v>
      </c>
    </row>
    <row r="5" spans="1:6" x14ac:dyDescent="0.2">
      <c r="A5" s="3">
        <v>46084</v>
      </c>
      <c r="B5" t="s">
        <v>29</v>
      </c>
      <c r="C5" s="4">
        <v>7</v>
      </c>
      <c r="D5" s="6">
        <v>17.16</v>
      </c>
      <c r="E5" s="6">
        <v>21.4</v>
      </c>
    </row>
    <row r="6" spans="1:6" x14ac:dyDescent="0.2">
      <c r="A6" s="3">
        <v>46084</v>
      </c>
      <c r="B6" t="s">
        <v>30</v>
      </c>
      <c r="C6" s="4">
        <v>15</v>
      </c>
      <c r="D6" s="6">
        <v>4.29</v>
      </c>
      <c r="E6" s="6">
        <v>2.6</v>
      </c>
    </row>
    <row r="7" spans="1:6" x14ac:dyDescent="0.2">
      <c r="A7" s="3">
        <v>46084</v>
      </c>
      <c r="B7" t="s">
        <v>31</v>
      </c>
      <c r="C7" s="4">
        <v>10</v>
      </c>
      <c r="D7" s="6">
        <v>17.84</v>
      </c>
      <c r="E7" s="6">
        <v>7.5</v>
      </c>
    </row>
    <row r="8" spans="1:6" x14ac:dyDescent="0.2">
      <c r="A8" s="3">
        <v>46084</v>
      </c>
      <c r="B8" t="s">
        <v>32</v>
      </c>
      <c r="C8" s="4">
        <v>1</v>
      </c>
      <c r="D8" s="6">
        <v>22.5</v>
      </c>
      <c r="E8" s="6">
        <v>22.5</v>
      </c>
    </row>
    <row r="9" spans="1:6" x14ac:dyDescent="0.2">
      <c r="A9" s="3">
        <v>46084</v>
      </c>
      <c r="B9" t="s">
        <v>33</v>
      </c>
      <c r="C9" s="4">
        <v>6</v>
      </c>
      <c r="D9" s="6">
        <v>11.62</v>
      </c>
      <c r="E9" s="6">
        <v>10.1</v>
      </c>
    </row>
    <row r="10" spans="1:6" x14ac:dyDescent="0.2">
      <c r="A10" s="3">
        <v>46084</v>
      </c>
      <c r="B10" t="s">
        <v>34</v>
      </c>
      <c r="C10" s="4">
        <v>4</v>
      </c>
      <c r="D10" s="6">
        <v>15.73</v>
      </c>
      <c r="E10" s="6">
        <v>11</v>
      </c>
    </row>
    <row r="11" spans="1:6" x14ac:dyDescent="0.2">
      <c r="A11" s="3">
        <v>46084</v>
      </c>
      <c r="B11" t="s">
        <v>35</v>
      </c>
      <c r="C11" s="4">
        <v>5</v>
      </c>
      <c r="D11" s="6">
        <v>4</v>
      </c>
      <c r="E11" s="6">
        <v>3.4</v>
      </c>
    </row>
    <row r="12" spans="1:6" x14ac:dyDescent="0.2">
      <c r="A12" s="3">
        <v>46084</v>
      </c>
      <c r="B12" t="s">
        <v>36</v>
      </c>
      <c r="C12" s="4">
        <v>4</v>
      </c>
      <c r="D12" s="6">
        <v>3.58</v>
      </c>
      <c r="E12" s="6">
        <v>2.6</v>
      </c>
    </row>
    <row r="13" spans="1:6" x14ac:dyDescent="0.2">
      <c r="A13" s="3">
        <v>46084</v>
      </c>
      <c r="B13" t="s">
        <v>37</v>
      </c>
      <c r="C13" s="4">
        <v>10</v>
      </c>
      <c r="D13" s="6">
        <v>7.59</v>
      </c>
      <c r="E13" s="6">
        <v>6.45</v>
      </c>
    </row>
    <row r="14" spans="1:6" x14ac:dyDescent="0.2">
      <c r="A14" s="3">
        <v>46084</v>
      </c>
      <c r="B14" t="s">
        <v>38</v>
      </c>
      <c r="C14" s="4">
        <v>14</v>
      </c>
      <c r="D14" s="6">
        <v>14.59</v>
      </c>
      <c r="E14" s="6">
        <v>18.399999999999999</v>
      </c>
    </row>
    <row r="15" spans="1:6" x14ac:dyDescent="0.2">
      <c r="A15" s="3">
        <v>46084</v>
      </c>
      <c r="B15" t="s">
        <v>39</v>
      </c>
      <c r="C15" s="4">
        <v>11</v>
      </c>
      <c r="D15" s="6">
        <v>11.26</v>
      </c>
      <c r="E15" s="6">
        <v>10.5</v>
      </c>
    </row>
    <row r="16" spans="1:6" x14ac:dyDescent="0.2">
      <c r="A16" s="3">
        <v>46084</v>
      </c>
      <c r="B16" t="s">
        <v>40</v>
      </c>
      <c r="C16" s="4">
        <v>2</v>
      </c>
      <c r="D16" s="6">
        <v>24.4</v>
      </c>
      <c r="E16" s="6">
        <v>24.4</v>
      </c>
    </row>
    <row r="17" spans="1:5" x14ac:dyDescent="0.2">
      <c r="A17" s="3">
        <v>46084</v>
      </c>
      <c r="B17" t="s">
        <v>41</v>
      </c>
      <c r="C17" s="4">
        <v>6</v>
      </c>
      <c r="D17" s="6">
        <v>6.25</v>
      </c>
      <c r="E17" s="6">
        <v>7.3</v>
      </c>
    </row>
    <row r="18" spans="1:5" x14ac:dyDescent="0.2">
      <c r="A18" s="3">
        <v>46084</v>
      </c>
      <c r="B18" t="s">
        <v>42</v>
      </c>
      <c r="C18" s="4">
        <v>6</v>
      </c>
      <c r="D18" s="6">
        <v>12.65</v>
      </c>
      <c r="E18" s="6">
        <v>6.25</v>
      </c>
    </row>
    <row r="19" spans="1:5" x14ac:dyDescent="0.2">
      <c r="A19" s="3">
        <v>46084</v>
      </c>
      <c r="B19" t="s">
        <v>43</v>
      </c>
      <c r="C19" s="4">
        <v>9</v>
      </c>
      <c r="D19" s="6">
        <v>16.57</v>
      </c>
      <c r="E19" s="6">
        <v>17.399999999999999</v>
      </c>
    </row>
    <row r="20" spans="1:5" x14ac:dyDescent="0.2">
      <c r="A20" s="3">
        <v>46084</v>
      </c>
      <c r="B20" t="s">
        <v>44</v>
      </c>
      <c r="C20" s="4">
        <v>5</v>
      </c>
      <c r="D20" s="6">
        <v>19.920000000000002</v>
      </c>
      <c r="E20" s="6">
        <v>26</v>
      </c>
    </row>
    <row r="21" spans="1:5" x14ac:dyDescent="0.2">
      <c r="A21" s="3">
        <v>46084</v>
      </c>
      <c r="B21" t="s">
        <v>45</v>
      </c>
      <c r="C21" s="4">
        <v>15</v>
      </c>
      <c r="D21" s="6">
        <v>4.45</v>
      </c>
      <c r="E21" s="6">
        <v>3.5</v>
      </c>
    </row>
    <row r="22" spans="1:5" x14ac:dyDescent="0.2">
      <c r="A22" s="3">
        <v>46084</v>
      </c>
      <c r="B22" t="s">
        <v>46</v>
      </c>
      <c r="C22" s="4">
        <v>18</v>
      </c>
      <c r="D22" s="6">
        <v>5.48</v>
      </c>
      <c r="E22" s="6">
        <v>3.35</v>
      </c>
    </row>
    <row r="23" spans="1:5" x14ac:dyDescent="0.2">
      <c r="A23" s="3">
        <v>46084</v>
      </c>
      <c r="B23" t="s">
        <v>47</v>
      </c>
      <c r="C23" s="4">
        <v>2</v>
      </c>
      <c r="D23" s="6">
        <v>19.350000000000001</v>
      </c>
      <c r="E23" s="6">
        <v>19.350000000000001</v>
      </c>
    </row>
    <row r="24" spans="1:5" x14ac:dyDescent="0.2">
      <c r="A24" s="3">
        <v>46084</v>
      </c>
      <c r="B24" t="s">
        <v>48</v>
      </c>
      <c r="C24" s="4">
        <v>5</v>
      </c>
      <c r="D24" s="6">
        <v>14.42</v>
      </c>
      <c r="E24" s="6">
        <v>17.2</v>
      </c>
    </row>
    <row r="25" spans="1:5" x14ac:dyDescent="0.2">
      <c r="A25" s="3">
        <v>46084</v>
      </c>
      <c r="B25" t="s">
        <v>49</v>
      </c>
      <c r="C25" s="4">
        <v>1</v>
      </c>
      <c r="D25" s="6">
        <v>24.3</v>
      </c>
      <c r="E25" s="6">
        <v>24.3</v>
      </c>
    </row>
    <row r="26" spans="1:5" x14ac:dyDescent="0.2">
      <c r="A26" s="3">
        <v>46084</v>
      </c>
      <c r="B26" t="s">
        <v>50</v>
      </c>
      <c r="C26" s="4">
        <v>3</v>
      </c>
      <c r="D26" s="6">
        <v>9.57</v>
      </c>
      <c r="E26" s="6">
        <v>12.3</v>
      </c>
    </row>
    <row r="27" spans="1:5" x14ac:dyDescent="0.2">
      <c r="A27" s="3">
        <v>46084</v>
      </c>
      <c r="B27" t="s">
        <v>51</v>
      </c>
      <c r="C27" s="4">
        <v>1</v>
      </c>
      <c r="D27" s="6">
        <v>16.899999999999999</v>
      </c>
      <c r="E27" s="6">
        <v>16.899999999999999</v>
      </c>
    </row>
    <row r="28" spans="1:5" x14ac:dyDescent="0.2">
      <c r="A28" s="3">
        <v>46084</v>
      </c>
      <c r="B28" t="s">
        <v>52</v>
      </c>
      <c r="C28" s="4">
        <v>7</v>
      </c>
      <c r="D28" s="6">
        <v>8.24</v>
      </c>
      <c r="E28" s="6">
        <v>2.5</v>
      </c>
    </row>
    <row r="29" spans="1:5" x14ac:dyDescent="0.2">
      <c r="A29" s="3">
        <v>46084</v>
      </c>
      <c r="B29" t="s">
        <v>53</v>
      </c>
      <c r="C29" s="4">
        <v>10</v>
      </c>
      <c r="D29" s="6">
        <v>9.83</v>
      </c>
      <c r="E29" s="6">
        <v>5.55</v>
      </c>
    </row>
    <row r="30" spans="1:5" x14ac:dyDescent="0.2">
      <c r="A30" s="3">
        <v>46084</v>
      </c>
      <c r="B30" t="s">
        <v>54</v>
      </c>
      <c r="C30" s="4">
        <v>5</v>
      </c>
      <c r="D30" s="6">
        <v>8.3800000000000008</v>
      </c>
      <c r="E30" s="6">
        <v>7.6</v>
      </c>
    </row>
    <row r="31" spans="1:5" x14ac:dyDescent="0.2">
      <c r="A31" s="3">
        <v>46084</v>
      </c>
      <c r="B31" t="s">
        <v>55</v>
      </c>
      <c r="C31" s="4">
        <v>5</v>
      </c>
      <c r="D31" s="6">
        <v>8.82</v>
      </c>
      <c r="E31" s="6">
        <v>8.9</v>
      </c>
    </row>
    <row r="32" spans="1:5" x14ac:dyDescent="0.2">
      <c r="A32" s="3">
        <v>46084</v>
      </c>
      <c r="B32" t="s">
        <v>56</v>
      </c>
      <c r="C32" s="4">
        <v>2</v>
      </c>
      <c r="D32" s="6">
        <v>18.05</v>
      </c>
      <c r="E32" s="6">
        <v>18.05</v>
      </c>
    </row>
    <row r="33" spans="1:5" x14ac:dyDescent="0.2">
      <c r="A33" s="3">
        <v>46084</v>
      </c>
      <c r="B33" t="s">
        <v>57</v>
      </c>
      <c r="C33" s="4">
        <v>5</v>
      </c>
      <c r="D33" s="6">
        <v>10.119999999999999</v>
      </c>
      <c r="E33" s="6">
        <v>7.5</v>
      </c>
    </row>
    <row r="34" spans="1:5" x14ac:dyDescent="0.2">
      <c r="A34" s="3">
        <v>46084</v>
      </c>
      <c r="B34" t="s">
        <v>58</v>
      </c>
      <c r="C34" s="4">
        <v>13</v>
      </c>
      <c r="D34" s="6">
        <v>11.13</v>
      </c>
      <c r="E34" s="6">
        <v>10</v>
      </c>
    </row>
    <row r="35" spans="1:5" x14ac:dyDescent="0.2">
      <c r="A35" s="3">
        <v>46084</v>
      </c>
      <c r="B35" t="s">
        <v>59</v>
      </c>
      <c r="C35" s="4">
        <v>1</v>
      </c>
      <c r="D35" s="6">
        <v>27.2</v>
      </c>
      <c r="E35" s="6">
        <v>27.2</v>
      </c>
    </row>
    <row r="36" spans="1:5" x14ac:dyDescent="0.2">
      <c r="A36" s="3">
        <v>46084</v>
      </c>
      <c r="B36" t="s">
        <v>60</v>
      </c>
      <c r="C36" s="4">
        <v>8</v>
      </c>
      <c r="D36" s="6">
        <v>17.239999999999998</v>
      </c>
      <c r="E36" s="6">
        <v>19.5</v>
      </c>
    </row>
    <row r="37" spans="1:5" x14ac:dyDescent="0.2">
      <c r="A37" s="3">
        <v>46084</v>
      </c>
      <c r="B37" t="s">
        <v>61</v>
      </c>
      <c r="C37" s="4">
        <v>1</v>
      </c>
      <c r="D37" s="6">
        <v>29.8</v>
      </c>
      <c r="E37" s="6">
        <v>29.8</v>
      </c>
    </row>
    <row r="38" spans="1:5" x14ac:dyDescent="0.2">
      <c r="A38" s="3">
        <v>46084</v>
      </c>
      <c r="B38" t="s">
        <v>62</v>
      </c>
      <c r="C38" s="4">
        <v>9</v>
      </c>
      <c r="D38" s="6">
        <v>17.93</v>
      </c>
      <c r="E38" s="6">
        <v>14.2</v>
      </c>
    </row>
    <row r="39" spans="1:5" x14ac:dyDescent="0.2">
      <c r="A39" s="3">
        <v>46084</v>
      </c>
      <c r="B39" t="s">
        <v>63</v>
      </c>
      <c r="C39" s="4">
        <v>7</v>
      </c>
      <c r="D39" s="6">
        <v>28.39</v>
      </c>
      <c r="E39" s="6">
        <v>22.1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41B018-DF94-B34E-BD7B-1FA95F858DF7}">
  <dimension ref="A1:V39"/>
  <sheetViews>
    <sheetView zoomScale="66" workbookViewId="0">
      <selection activeCell="T2" sqref="T2:V39"/>
    </sheetView>
  </sheetViews>
  <sheetFormatPr baseColWidth="10" defaultRowHeight="16" x14ac:dyDescent="0.2"/>
  <sheetData>
    <row r="1" spans="1:22" x14ac:dyDescent="0.2">
      <c r="A1" s="4" t="s">
        <v>64</v>
      </c>
      <c r="B1" s="4" t="s">
        <v>65</v>
      </c>
      <c r="C1" s="4">
        <v>1</v>
      </c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t="s">
        <v>67</v>
      </c>
      <c r="U1" t="s">
        <v>66</v>
      </c>
      <c r="V1" t="s">
        <v>68</v>
      </c>
    </row>
    <row r="2" spans="1:22" x14ac:dyDescent="0.2">
      <c r="A2" s="4" t="s">
        <v>26</v>
      </c>
      <c r="B2" s="4">
        <v>8.1</v>
      </c>
      <c r="C2" s="4">
        <v>7.9</v>
      </c>
      <c r="D2" s="4">
        <v>6.9</v>
      </c>
      <c r="E2" s="4">
        <v>19.600000000000001</v>
      </c>
      <c r="F2" s="4">
        <v>6.8</v>
      </c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>
        <f>COUNT(B2:S2)</f>
        <v>5</v>
      </c>
      <c r="U2" s="5">
        <f>AVERAGE(B2:S2)</f>
        <v>9.86</v>
      </c>
      <c r="V2" s="5">
        <f>MEDIAN(B2:S2)</f>
        <v>7.9</v>
      </c>
    </row>
    <row r="3" spans="1:22" x14ac:dyDescent="0.2">
      <c r="A3" s="4" t="s">
        <v>27</v>
      </c>
      <c r="B3" s="4">
        <v>8.4</v>
      </c>
      <c r="C3" s="4">
        <v>6.2</v>
      </c>
      <c r="D3" s="4">
        <v>14.6</v>
      </c>
      <c r="E3" s="4">
        <v>2.2000000000000002</v>
      </c>
      <c r="F3" s="4">
        <v>4.8</v>
      </c>
      <c r="G3" s="4">
        <v>16.3</v>
      </c>
      <c r="H3" s="4">
        <v>12.3</v>
      </c>
      <c r="I3" s="4">
        <v>24.4</v>
      </c>
      <c r="J3" s="4">
        <v>4.4000000000000004</v>
      </c>
      <c r="K3" s="4"/>
      <c r="L3" s="4"/>
      <c r="M3" s="4"/>
      <c r="N3" s="4"/>
      <c r="O3" s="4"/>
      <c r="P3" s="4"/>
      <c r="Q3" s="4"/>
      <c r="R3" s="4"/>
      <c r="S3" s="4"/>
      <c r="T3">
        <f t="shared" ref="T3:T38" si="0">COUNT(B3:S3)</f>
        <v>9</v>
      </c>
      <c r="U3" s="5">
        <f t="shared" ref="U3:U38" si="1">AVERAGE(B3:S3)</f>
        <v>10.399999999999999</v>
      </c>
      <c r="V3" s="5">
        <f t="shared" ref="V3:V39" si="2">MEDIAN(B3:S3)</f>
        <v>8.4</v>
      </c>
    </row>
    <row r="4" spans="1:22" x14ac:dyDescent="0.2">
      <c r="A4" s="4" t="s">
        <v>28</v>
      </c>
      <c r="B4" s="4">
        <v>8.6</v>
      </c>
      <c r="C4" s="4">
        <v>11</v>
      </c>
      <c r="D4" s="4">
        <v>13.6</v>
      </c>
      <c r="E4" s="4">
        <v>19.8</v>
      </c>
      <c r="F4" s="4">
        <v>7.6</v>
      </c>
      <c r="G4" s="4">
        <v>19</v>
      </c>
      <c r="H4" s="4">
        <v>6.8</v>
      </c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>
        <f t="shared" si="0"/>
        <v>7</v>
      </c>
      <c r="U4" s="5">
        <f t="shared" si="1"/>
        <v>12.342857142857142</v>
      </c>
      <c r="V4" s="5">
        <f t="shared" si="2"/>
        <v>11</v>
      </c>
    </row>
    <row r="5" spans="1:22" x14ac:dyDescent="0.2">
      <c r="A5" s="4" t="s">
        <v>29</v>
      </c>
      <c r="B5" s="4">
        <v>8.3000000000000007</v>
      </c>
      <c r="C5" s="4">
        <v>26.1</v>
      </c>
      <c r="D5" s="4">
        <v>21.4</v>
      </c>
      <c r="E5" s="4">
        <v>25.4</v>
      </c>
      <c r="F5" s="4">
        <v>30.7</v>
      </c>
      <c r="G5" s="4">
        <v>3.8</v>
      </c>
      <c r="H5" s="4">
        <v>4.4000000000000004</v>
      </c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>
        <f t="shared" si="0"/>
        <v>7</v>
      </c>
      <c r="U5" s="5">
        <f t="shared" si="1"/>
        <v>17.157142857142858</v>
      </c>
      <c r="V5" s="5">
        <f t="shared" si="2"/>
        <v>21.4</v>
      </c>
    </row>
    <row r="6" spans="1:22" x14ac:dyDescent="0.2">
      <c r="A6" s="4" t="s">
        <v>30</v>
      </c>
      <c r="B6" s="4">
        <v>15.2</v>
      </c>
      <c r="C6" s="4">
        <v>12.2</v>
      </c>
      <c r="D6" s="4">
        <v>1</v>
      </c>
      <c r="E6" s="4">
        <v>0.8</v>
      </c>
      <c r="F6" s="4">
        <v>2</v>
      </c>
      <c r="G6" s="4">
        <v>1</v>
      </c>
      <c r="H6" s="4">
        <v>1</v>
      </c>
      <c r="I6" s="4">
        <v>0.6</v>
      </c>
      <c r="J6" s="4">
        <v>2.5</v>
      </c>
      <c r="K6" s="4">
        <v>5.5</v>
      </c>
      <c r="L6" s="4">
        <v>5</v>
      </c>
      <c r="M6" s="4">
        <v>2.6</v>
      </c>
      <c r="N6" s="4">
        <v>4.0999999999999996</v>
      </c>
      <c r="O6" s="4">
        <v>3.1</v>
      </c>
      <c r="P6" s="4">
        <v>7.7</v>
      </c>
      <c r="Q6" s="4"/>
      <c r="R6" s="4"/>
      <c r="S6" s="4"/>
      <c r="T6">
        <f t="shared" si="0"/>
        <v>15</v>
      </c>
      <c r="U6" s="5">
        <f t="shared" si="1"/>
        <v>4.2866666666666671</v>
      </c>
      <c r="V6" s="5">
        <f t="shared" si="2"/>
        <v>2.6</v>
      </c>
    </row>
    <row r="7" spans="1:22" x14ac:dyDescent="0.2">
      <c r="A7" s="4" t="s">
        <v>31</v>
      </c>
      <c r="B7" s="4">
        <v>34.5</v>
      </c>
      <c r="C7" s="4">
        <v>8</v>
      </c>
      <c r="D7" s="4">
        <v>3.1</v>
      </c>
      <c r="E7" s="4">
        <v>6</v>
      </c>
      <c r="F7" s="4">
        <v>7</v>
      </c>
      <c r="G7" s="4">
        <v>6.6</v>
      </c>
      <c r="H7" s="4">
        <v>4.2</v>
      </c>
      <c r="I7" s="4">
        <v>37</v>
      </c>
      <c r="J7" s="4">
        <v>35.799999999999997</v>
      </c>
      <c r="K7" s="4">
        <v>36.200000000000003</v>
      </c>
      <c r="L7" s="4"/>
      <c r="M7" s="4"/>
      <c r="N7" s="4"/>
      <c r="O7" s="4"/>
      <c r="P7" s="4"/>
      <c r="Q7" s="4"/>
      <c r="R7" s="4"/>
      <c r="S7" s="4"/>
      <c r="T7">
        <f t="shared" si="0"/>
        <v>10</v>
      </c>
      <c r="U7" s="5">
        <f t="shared" si="1"/>
        <v>17.839999999999996</v>
      </c>
      <c r="V7" s="5">
        <f t="shared" si="2"/>
        <v>7.5</v>
      </c>
    </row>
    <row r="8" spans="1:22" x14ac:dyDescent="0.2">
      <c r="A8" s="4" t="s">
        <v>32</v>
      </c>
      <c r="B8" s="4">
        <v>22.5</v>
      </c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>
        <f t="shared" si="0"/>
        <v>1</v>
      </c>
      <c r="U8" s="5">
        <f t="shared" si="1"/>
        <v>22.5</v>
      </c>
      <c r="V8" s="5">
        <f t="shared" si="2"/>
        <v>22.5</v>
      </c>
    </row>
    <row r="9" spans="1:22" x14ac:dyDescent="0.2">
      <c r="A9" s="4" t="s">
        <v>33</v>
      </c>
      <c r="B9" s="4">
        <v>27.5</v>
      </c>
      <c r="C9" s="4">
        <v>17.600000000000001</v>
      </c>
      <c r="D9" s="4">
        <v>15.5</v>
      </c>
      <c r="E9" s="4">
        <v>4.7</v>
      </c>
      <c r="F9" s="4">
        <v>1</v>
      </c>
      <c r="G9" s="4">
        <v>3.4</v>
      </c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>
        <f t="shared" si="0"/>
        <v>6</v>
      </c>
      <c r="U9" s="5">
        <f t="shared" si="1"/>
        <v>11.616666666666667</v>
      </c>
      <c r="V9" s="5">
        <f t="shared" si="2"/>
        <v>10.100000000000001</v>
      </c>
    </row>
    <row r="10" spans="1:22" x14ac:dyDescent="0.2">
      <c r="A10" s="4" t="s">
        <v>34</v>
      </c>
      <c r="B10" s="4">
        <v>36.4</v>
      </c>
      <c r="C10" s="4">
        <v>4.5</v>
      </c>
      <c r="D10" s="4">
        <v>14.1</v>
      </c>
      <c r="E10" s="4">
        <v>7.9</v>
      </c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>
        <f t="shared" si="0"/>
        <v>4</v>
      </c>
      <c r="U10" s="5">
        <f t="shared" si="1"/>
        <v>15.725</v>
      </c>
      <c r="V10" s="5">
        <f t="shared" si="2"/>
        <v>11</v>
      </c>
    </row>
    <row r="11" spans="1:22" x14ac:dyDescent="0.2">
      <c r="A11" s="4" t="s">
        <v>35</v>
      </c>
      <c r="B11" s="4">
        <v>8.6</v>
      </c>
      <c r="C11" s="4">
        <v>3.4</v>
      </c>
      <c r="D11" s="4">
        <v>3.2</v>
      </c>
      <c r="E11" s="4">
        <v>4.0999999999999996</v>
      </c>
      <c r="F11" s="4">
        <v>0.7</v>
      </c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>
        <f t="shared" si="0"/>
        <v>5</v>
      </c>
      <c r="U11" s="5">
        <f t="shared" si="1"/>
        <v>3.9999999999999991</v>
      </c>
      <c r="V11" s="5">
        <f t="shared" si="2"/>
        <v>3.4</v>
      </c>
    </row>
    <row r="12" spans="1:22" x14ac:dyDescent="0.2">
      <c r="A12" s="4" t="s">
        <v>36</v>
      </c>
      <c r="B12" s="4">
        <v>8.5</v>
      </c>
      <c r="C12" s="4">
        <v>2.8</v>
      </c>
      <c r="D12" s="4">
        <v>2.4</v>
      </c>
      <c r="E12" s="4">
        <v>0.6</v>
      </c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>
        <f t="shared" si="0"/>
        <v>4</v>
      </c>
      <c r="U12" s="5">
        <f t="shared" si="1"/>
        <v>3.5750000000000002</v>
      </c>
      <c r="V12" s="5">
        <f t="shared" si="2"/>
        <v>2.5999999999999996</v>
      </c>
    </row>
    <row r="13" spans="1:22" x14ac:dyDescent="0.2">
      <c r="A13" s="4" t="s">
        <v>37</v>
      </c>
      <c r="B13" s="4">
        <v>8.6999999999999993</v>
      </c>
      <c r="C13" s="4">
        <v>7.2</v>
      </c>
      <c r="D13" s="4">
        <v>5.7</v>
      </c>
      <c r="E13" s="4">
        <v>2.5</v>
      </c>
      <c r="F13" s="4">
        <v>16.100000000000001</v>
      </c>
      <c r="G13" s="4">
        <v>14.5</v>
      </c>
      <c r="H13" s="4">
        <v>16.399999999999999</v>
      </c>
      <c r="I13" s="4">
        <v>3.9</v>
      </c>
      <c r="J13" s="4">
        <v>0.5</v>
      </c>
      <c r="K13" s="4">
        <v>0.4</v>
      </c>
      <c r="L13" s="4"/>
      <c r="M13" s="4"/>
      <c r="N13" s="4"/>
      <c r="O13" s="4"/>
      <c r="P13" s="4"/>
      <c r="Q13" s="4"/>
      <c r="R13" s="4"/>
      <c r="S13" s="4"/>
      <c r="T13">
        <f t="shared" si="0"/>
        <v>10</v>
      </c>
      <c r="U13" s="5">
        <f t="shared" si="1"/>
        <v>7.5900000000000007</v>
      </c>
      <c r="V13" s="5">
        <f t="shared" si="2"/>
        <v>6.45</v>
      </c>
    </row>
    <row r="14" spans="1:22" x14ac:dyDescent="0.2">
      <c r="A14" s="4" t="s">
        <v>38</v>
      </c>
      <c r="B14" s="4">
        <v>30</v>
      </c>
      <c r="C14" s="4">
        <v>25</v>
      </c>
      <c r="D14" s="4">
        <v>19.8</v>
      </c>
      <c r="E14" s="4">
        <v>20.8</v>
      </c>
      <c r="F14" s="4">
        <v>18.600000000000001</v>
      </c>
      <c r="G14" s="4">
        <v>30</v>
      </c>
      <c r="H14" s="4">
        <v>20</v>
      </c>
      <c r="I14" s="4">
        <v>18.2</v>
      </c>
      <c r="J14" s="4">
        <v>11.1</v>
      </c>
      <c r="K14" s="4">
        <v>2.5</v>
      </c>
      <c r="L14" s="4">
        <v>2.7</v>
      </c>
      <c r="M14" s="4">
        <v>1.9</v>
      </c>
      <c r="N14" s="4">
        <v>1</v>
      </c>
      <c r="O14" s="4">
        <v>2.6</v>
      </c>
      <c r="P14" s="4"/>
      <c r="Q14" s="4"/>
      <c r="R14" s="4"/>
      <c r="S14" s="4"/>
      <c r="T14">
        <f t="shared" si="0"/>
        <v>14</v>
      </c>
      <c r="U14" s="5">
        <f t="shared" si="1"/>
        <v>14.585714285714284</v>
      </c>
      <c r="V14" s="5">
        <f t="shared" si="2"/>
        <v>18.399999999999999</v>
      </c>
    </row>
    <row r="15" spans="1:22" x14ac:dyDescent="0.2">
      <c r="A15" s="4" t="s">
        <v>39</v>
      </c>
      <c r="B15" s="4">
        <v>25.3</v>
      </c>
      <c r="C15" s="4">
        <v>5.9</v>
      </c>
      <c r="D15" s="4">
        <v>8</v>
      </c>
      <c r="E15" s="4">
        <v>7.5</v>
      </c>
      <c r="F15" s="4">
        <v>11.5</v>
      </c>
      <c r="G15" s="4">
        <v>13</v>
      </c>
      <c r="H15" s="4">
        <v>7.6</v>
      </c>
      <c r="I15" s="4">
        <v>13.5</v>
      </c>
      <c r="J15" s="4">
        <v>14.2</v>
      </c>
      <c r="K15" s="4">
        <v>6.9</v>
      </c>
      <c r="L15" s="4">
        <v>10.5</v>
      </c>
      <c r="M15" s="4"/>
      <c r="N15" s="4"/>
      <c r="O15" s="4"/>
      <c r="P15" s="4"/>
      <c r="Q15" s="4"/>
      <c r="R15" s="4"/>
      <c r="S15" s="4"/>
      <c r="T15">
        <f t="shared" si="0"/>
        <v>11</v>
      </c>
      <c r="U15" s="5">
        <f t="shared" si="1"/>
        <v>11.263636363636364</v>
      </c>
      <c r="V15" s="5">
        <f t="shared" si="2"/>
        <v>10.5</v>
      </c>
    </row>
    <row r="16" spans="1:22" x14ac:dyDescent="0.2">
      <c r="A16" s="4" t="s">
        <v>40</v>
      </c>
      <c r="B16" s="4">
        <v>38.200000000000003</v>
      </c>
      <c r="C16" s="4">
        <v>10.6</v>
      </c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>
        <f t="shared" si="0"/>
        <v>2</v>
      </c>
      <c r="U16" s="5">
        <f t="shared" si="1"/>
        <v>24.400000000000002</v>
      </c>
      <c r="V16" s="5">
        <f t="shared" si="2"/>
        <v>24.4</v>
      </c>
    </row>
    <row r="17" spans="1:22" x14ac:dyDescent="0.2">
      <c r="A17" s="4" t="s">
        <v>41</v>
      </c>
      <c r="B17" s="4">
        <v>8.3000000000000007</v>
      </c>
      <c r="C17" s="4">
        <v>6.3</v>
      </c>
      <c r="D17" s="4">
        <v>8.6999999999999993</v>
      </c>
      <c r="E17" s="4">
        <v>10.4</v>
      </c>
      <c r="F17" s="4">
        <v>2.2999999999999998</v>
      </c>
      <c r="G17" s="4">
        <v>1.5</v>
      </c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>
        <f t="shared" si="0"/>
        <v>6</v>
      </c>
      <c r="U17" s="5">
        <f t="shared" si="1"/>
        <v>6.25</v>
      </c>
      <c r="V17" s="5">
        <f t="shared" si="2"/>
        <v>7.3000000000000007</v>
      </c>
    </row>
    <row r="18" spans="1:22" x14ac:dyDescent="0.2">
      <c r="A18" s="4" t="s">
        <v>42</v>
      </c>
      <c r="B18" s="4">
        <v>31.6</v>
      </c>
      <c r="C18" s="4">
        <v>24.9</v>
      </c>
      <c r="D18" s="4">
        <v>8</v>
      </c>
      <c r="E18" s="4">
        <v>3.5</v>
      </c>
      <c r="F18" s="4">
        <v>3.4</v>
      </c>
      <c r="G18" s="4">
        <v>4.5</v>
      </c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>
        <f t="shared" si="0"/>
        <v>6</v>
      </c>
      <c r="U18" s="5">
        <f t="shared" si="1"/>
        <v>12.65</v>
      </c>
      <c r="V18" s="5">
        <f t="shared" si="2"/>
        <v>6.25</v>
      </c>
    </row>
    <row r="19" spans="1:22" x14ac:dyDescent="0.2">
      <c r="A19" s="4" t="s">
        <v>43</v>
      </c>
      <c r="B19" s="4">
        <v>27.4</v>
      </c>
      <c r="C19" s="4">
        <v>29.8</v>
      </c>
      <c r="D19" s="4">
        <v>17.399999999999999</v>
      </c>
      <c r="E19" s="4">
        <v>19.399999999999999</v>
      </c>
      <c r="F19" s="4">
        <v>24.6</v>
      </c>
      <c r="G19" s="4">
        <v>16.600000000000001</v>
      </c>
      <c r="H19" s="4">
        <v>9.6999999999999993</v>
      </c>
      <c r="I19" s="4">
        <v>2.8</v>
      </c>
      <c r="J19" s="4">
        <v>1.4</v>
      </c>
      <c r="K19" s="4"/>
      <c r="L19" s="4"/>
      <c r="M19" s="4"/>
      <c r="N19" s="4"/>
      <c r="O19" s="4"/>
      <c r="P19" s="4"/>
      <c r="Q19" s="4"/>
      <c r="R19" s="4"/>
      <c r="S19" s="4"/>
      <c r="T19">
        <f t="shared" si="0"/>
        <v>9</v>
      </c>
      <c r="U19" s="5">
        <f t="shared" si="1"/>
        <v>16.566666666666666</v>
      </c>
      <c r="V19" s="5">
        <f t="shared" si="2"/>
        <v>17.399999999999999</v>
      </c>
    </row>
    <row r="20" spans="1:22" x14ac:dyDescent="0.2">
      <c r="A20" s="4" t="s">
        <v>44</v>
      </c>
      <c r="B20" s="4">
        <v>10.1</v>
      </c>
      <c r="C20" s="4">
        <v>31.2</v>
      </c>
      <c r="D20" s="4">
        <v>27.2</v>
      </c>
      <c r="E20" s="4">
        <v>5.0999999999999996</v>
      </c>
      <c r="F20" s="4">
        <v>26</v>
      </c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>
        <f t="shared" si="0"/>
        <v>5</v>
      </c>
      <c r="U20" s="5">
        <f t="shared" si="1"/>
        <v>19.919999999999998</v>
      </c>
      <c r="V20" s="5">
        <f t="shared" si="2"/>
        <v>26</v>
      </c>
    </row>
    <row r="21" spans="1:22" x14ac:dyDescent="0.2">
      <c r="A21" s="4" t="s">
        <v>45</v>
      </c>
      <c r="B21" s="4">
        <v>9.5</v>
      </c>
      <c r="C21" s="4">
        <v>8</v>
      </c>
      <c r="D21" s="4">
        <v>1.5</v>
      </c>
      <c r="E21" s="4">
        <v>7.4</v>
      </c>
      <c r="F21" s="4">
        <v>3.5</v>
      </c>
      <c r="G21" s="4">
        <v>3</v>
      </c>
      <c r="H21" s="4">
        <v>1</v>
      </c>
      <c r="I21" s="4">
        <v>7</v>
      </c>
      <c r="J21" s="4">
        <v>2.7</v>
      </c>
      <c r="K21" s="4">
        <v>4.5</v>
      </c>
      <c r="L21" s="4">
        <v>2.5</v>
      </c>
      <c r="M21" s="4">
        <v>3</v>
      </c>
      <c r="N21" s="4">
        <v>3</v>
      </c>
      <c r="O21" s="4">
        <v>3.5</v>
      </c>
      <c r="P21" s="4">
        <v>6.6</v>
      </c>
      <c r="Q21" s="4"/>
      <c r="R21" s="4"/>
      <c r="S21" s="4"/>
      <c r="T21">
        <f t="shared" si="0"/>
        <v>15</v>
      </c>
      <c r="U21" s="5">
        <f t="shared" si="1"/>
        <v>4.4466666666666672</v>
      </c>
      <c r="V21" s="5">
        <f t="shared" si="2"/>
        <v>3.5</v>
      </c>
    </row>
    <row r="22" spans="1:22" x14ac:dyDescent="0.2">
      <c r="A22" s="4" t="s">
        <v>46</v>
      </c>
      <c r="B22" s="4">
        <v>22.5</v>
      </c>
      <c r="C22" s="4">
        <v>2.5</v>
      </c>
      <c r="D22" s="4">
        <v>3</v>
      </c>
      <c r="E22" s="4">
        <v>1.5</v>
      </c>
      <c r="F22" s="4">
        <v>3.6</v>
      </c>
      <c r="G22" s="4">
        <v>3</v>
      </c>
      <c r="H22" s="4">
        <v>10</v>
      </c>
      <c r="I22" s="4">
        <v>2.2000000000000002</v>
      </c>
      <c r="J22" s="4">
        <v>2.5</v>
      </c>
      <c r="K22" s="4">
        <v>2</v>
      </c>
      <c r="L22" s="4">
        <v>4</v>
      </c>
      <c r="M22" s="4">
        <v>5.5</v>
      </c>
      <c r="N22" s="4">
        <v>6</v>
      </c>
      <c r="O22" s="4">
        <v>4.8</v>
      </c>
      <c r="P22" s="4">
        <v>15.6</v>
      </c>
      <c r="Q22" s="4">
        <v>3.1</v>
      </c>
      <c r="R22" s="4">
        <v>5.9</v>
      </c>
      <c r="S22" s="4">
        <v>1</v>
      </c>
      <c r="T22">
        <f t="shared" si="0"/>
        <v>18</v>
      </c>
      <c r="U22" s="5">
        <f t="shared" si="1"/>
        <v>5.4833333333333334</v>
      </c>
      <c r="V22" s="5">
        <f t="shared" si="2"/>
        <v>3.35</v>
      </c>
    </row>
    <row r="23" spans="1:22" x14ac:dyDescent="0.2">
      <c r="A23" s="4" t="s">
        <v>47</v>
      </c>
      <c r="B23" s="4">
        <v>22.6</v>
      </c>
      <c r="C23" s="4">
        <v>16.100000000000001</v>
      </c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>
        <f t="shared" si="0"/>
        <v>2</v>
      </c>
      <c r="U23" s="5">
        <f t="shared" si="1"/>
        <v>19.350000000000001</v>
      </c>
      <c r="V23" s="5">
        <f t="shared" si="2"/>
        <v>19.350000000000001</v>
      </c>
    </row>
    <row r="24" spans="1:22" x14ac:dyDescent="0.2">
      <c r="A24" s="4" t="s">
        <v>48</v>
      </c>
      <c r="B24" s="4">
        <v>23.6</v>
      </c>
      <c r="C24" s="4">
        <v>7.2</v>
      </c>
      <c r="D24" s="4">
        <v>0.6</v>
      </c>
      <c r="E24" s="4">
        <v>23.5</v>
      </c>
      <c r="F24" s="4">
        <v>17.2</v>
      </c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>
        <f t="shared" si="0"/>
        <v>5</v>
      </c>
      <c r="U24" s="5">
        <f t="shared" si="1"/>
        <v>14.420000000000002</v>
      </c>
      <c r="V24" s="5">
        <f t="shared" si="2"/>
        <v>17.2</v>
      </c>
    </row>
    <row r="25" spans="1:22" x14ac:dyDescent="0.2">
      <c r="A25" s="4" t="s">
        <v>49</v>
      </c>
      <c r="B25" s="4">
        <v>24.3</v>
      </c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>
        <f t="shared" si="0"/>
        <v>1</v>
      </c>
      <c r="U25" s="5">
        <f t="shared" si="1"/>
        <v>24.3</v>
      </c>
      <c r="V25" s="5">
        <f t="shared" si="2"/>
        <v>24.3</v>
      </c>
    </row>
    <row r="26" spans="1:22" x14ac:dyDescent="0.2">
      <c r="A26" s="4" t="s">
        <v>50</v>
      </c>
      <c r="B26" s="4">
        <v>15.2</v>
      </c>
      <c r="C26" s="4">
        <v>12.3</v>
      </c>
      <c r="D26" s="4">
        <v>1.2</v>
      </c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>
        <f t="shared" si="0"/>
        <v>3</v>
      </c>
      <c r="U26" s="5">
        <f t="shared" si="1"/>
        <v>9.5666666666666664</v>
      </c>
      <c r="V26" s="5">
        <f t="shared" si="2"/>
        <v>12.3</v>
      </c>
    </row>
    <row r="27" spans="1:22" x14ac:dyDescent="0.2">
      <c r="A27" s="4" t="s">
        <v>51</v>
      </c>
      <c r="B27" s="4">
        <v>16.899999999999999</v>
      </c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>
        <f t="shared" si="0"/>
        <v>1</v>
      </c>
      <c r="U27" s="5">
        <f t="shared" si="1"/>
        <v>16.899999999999999</v>
      </c>
      <c r="V27" s="5">
        <f t="shared" si="2"/>
        <v>16.899999999999999</v>
      </c>
    </row>
    <row r="28" spans="1:22" x14ac:dyDescent="0.2">
      <c r="A28" s="4" t="s">
        <v>52</v>
      </c>
      <c r="B28" s="4">
        <v>9.5</v>
      </c>
      <c r="C28" s="4">
        <v>39.5</v>
      </c>
      <c r="D28" s="4">
        <v>3</v>
      </c>
      <c r="E28" s="4">
        <v>2.5</v>
      </c>
      <c r="F28" s="4">
        <v>1.2</v>
      </c>
      <c r="G28" s="4">
        <v>1.5</v>
      </c>
      <c r="H28" s="4">
        <v>0.5</v>
      </c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>
        <f t="shared" si="0"/>
        <v>7</v>
      </c>
      <c r="U28" s="5">
        <f t="shared" si="1"/>
        <v>8.2428571428571438</v>
      </c>
      <c r="V28" s="5">
        <f t="shared" si="2"/>
        <v>2.5</v>
      </c>
    </row>
    <row r="29" spans="1:22" x14ac:dyDescent="0.2">
      <c r="A29" s="4" t="s">
        <v>53</v>
      </c>
      <c r="B29" s="4">
        <v>30.7</v>
      </c>
      <c r="C29" s="4">
        <v>6.2</v>
      </c>
      <c r="D29" s="4">
        <v>4.9000000000000004</v>
      </c>
      <c r="E29" s="4">
        <v>3.1</v>
      </c>
      <c r="F29" s="4">
        <v>3.6</v>
      </c>
      <c r="G29" s="4">
        <v>3.7</v>
      </c>
      <c r="H29" s="4">
        <v>6.7</v>
      </c>
      <c r="I29" s="4">
        <v>27.5</v>
      </c>
      <c r="J29" s="4">
        <v>10.5</v>
      </c>
      <c r="K29" s="4">
        <v>1.4</v>
      </c>
      <c r="L29" s="4"/>
      <c r="M29" s="4"/>
      <c r="N29" s="4"/>
      <c r="O29" s="4"/>
      <c r="P29" s="4"/>
      <c r="Q29" s="4"/>
      <c r="R29" s="4"/>
      <c r="S29" s="4"/>
      <c r="T29">
        <f t="shared" si="0"/>
        <v>10</v>
      </c>
      <c r="U29" s="5">
        <f t="shared" si="1"/>
        <v>9.8300000000000018</v>
      </c>
      <c r="V29" s="5">
        <f t="shared" si="2"/>
        <v>5.5500000000000007</v>
      </c>
    </row>
    <row r="30" spans="1:22" x14ac:dyDescent="0.2">
      <c r="A30" s="4" t="s">
        <v>54</v>
      </c>
      <c r="B30" s="4">
        <v>7.6</v>
      </c>
      <c r="C30" s="4">
        <v>3.1</v>
      </c>
      <c r="D30" s="4">
        <v>10.9</v>
      </c>
      <c r="E30" s="4">
        <v>17.100000000000001</v>
      </c>
      <c r="F30" s="4">
        <v>3.2</v>
      </c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>
        <f t="shared" si="0"/>
        <v>5</v>
      </c>
      <c r="U30" s="5">
        <f t="shared" si="1"/>
        <v>8.3800000000000008</v>
      </c>
      <c r="V30" s="5">
        <f t="shared" si="2"/>
        <v>7.6</v>
      </c>
    </row>
    <row r="31" spans="1:22" x14ac:dyDescent="0.2">
      <c r="A31" s="4" t="s">
        <v>55</v>
      </c>
      <c r="B31" s="4">
        <v>9.1999999999999993</v>
      </c>
      <c r="C31" s="4">
        <v>6.3</v>
      </c>
      <c r="D31" s="4">
        <v>7.6</v>
      </c>
      <c r="E31" s="4">
        <v>8.9</v>
      </c>
      <c r="F31" s="4">
        <v>12.1</v>
      </c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>
        <f t="shared" si="0"/>
        <v>5</v>
      </c>
      <c r="U31" s="5">
        <f t="shared" si="1"/>
        <v>8.82</v>
      </c>
      <c r="V31" s="5">
        <f t="shared" si="2"/>
        <v>8.9</v>
      </c>
    </row>
    <row r="32" spans="1:22" x14ac:dyDescent="0.2">
      <c r="A32" s="4" t="s">
        <v>56</v>
      </c>
      <c r="B32" s="4">
        <v>26.5</v>
      </c>
      <c r="C32" s="4">
        <v>9.6</v>
      </c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>
        <f t="shared" si="0"/>
        <v>2</v>
      </c>
      <c r="U32" s="5">
        <f t="shared" si="1"/>
        <v>18.05</v>
      </c>
      <c r="V32" s="5">
        <f t="shared" si="2"/>
        <v>18.049999999999997</v>
      </c>
    </row>
    <row r="33" spans="1:22" x14ac:dyDescent="0.2">
      <c r="A33" s="4" t="s">
        <v>57</v>
      </c>
      <c r="B33" s="4">
        <v>24</v>
      </c>
      <c r="C33" s="4">
        <v>7.5</v>
      </c>
      <c r="D33" s="4">
        <v>6.4</v>
      </c>
      <c r="E33" s="4">
        <v>4.3</v>
      </c>
      <c r="F33" s="4">
        <v>8.4</v>
      </c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>
        <f t="shared" si="0"/>
        <v>5</v>
      </c>
      <c r="U33" s="5">
        <f t="shared" si="1"/>
        <v>10.119999999999999</v>
      </c>
      <c r="V33" s="5">
        <f t="shared" si="2"/>
        <v>7.5</v>
      </c>
    </row>
    <row r="34" spans="1:22" x14ac:dyDescent="0.2">
      <c r="A34" s="4" t="s">
        <v>58</v>
      </c>
      <c r="B34" s="4">
        <v>25.8</v>
      </c>
      <c r="C34" s="4">
        <v>15.5</v>
      </c>
      <c r="D34" s="4">
        <v>17.399999999999999</v>
      </c>
      <c r="E34" s="4">
        <v>17.100000000000001</v>
      </c>
      <c r="F34" s="4">
        <v>15.5</v>
      </c>
      <c r="G34" s="4">
        <v>4</v>
      </c>
      <c r="H34" s="4">
        <v>6</v>
      </c>
      <c r="I34" s="4">
        <v>8.5</v>
      </c>
      <c r="J34" s="4">
        <v>1.5</v>
      </c>
      <c r="K34" s="4">
        <v>0.5</v>
      </c>
      <c r="L34" s="4">
        <v>14.5</v>
      </c>
      <c r="M34" s="4">
        <v>8.4</v>
      </c>
      <c r="N34" s="4">
        <v>10</v>
      </c>
      <c r="O34" s="4"/>
      <c r="P34" s="4"/>
      <c r="Q34" s="4"/>
      <c r="R34" s="4"/>
      <c r="S34" s="4"/>
      <c r="T34">
        <f t="shared" si="0"/>
        <v>13</v>
      </c>
      <c r="U34" s="5">
        <f t="shared" si="1"/>
        <v>11.13076923076923</v>
      </c>
      <c r="V34" s="5">
        <f t="shared" si="2"/>
        <v>10</v>
      </c>
    </row>
    <row r="35" spans="1:22" x14ac:dyDescent="0.2">
      <c r="A35" s="4" t="s">
        <v>59</v>
      </c>
      <c r="B35" s="4">
        <v>27.2</v>
      </c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>
        <f t="shared" si="0"/>
        <v>1</v>
      </c>
      <c r="U35" s="5">
        <f t="shared" si="1"/>
        <v>27.2</v>
      </c>
      <c r="V35" s="5">
        <f t="shared" si="2"/>
        <v>27.2</v>
      </c>
    </row>
    <row r="36" spans="1:22" x14ac:dyDescent="0.2">
      <c r="A36" s="4" t="s">
        <v>60</v>
      </c>
      <c r="B36" s="4">
        <v>33.1</v>
      </c>
      <c r="C36" s="4">
        <v>18.5</v>
      </c>
      <c r="D36" s="4">
        <v>21.3</v>
      </c>
      <c r="E36" s="4">
        <v>12.4</v>
      </c>
      <c r="F36" s="4">
        <v>2.6</v>
      </c>
      <c r="G36" s="4">
        <v>20.5</v>
      </c>
      <c r="H36" s="4">
        <v>26.1</v>
      </c>
      <c r="I36" s="4">
        <v>3.4</v>
      </c>
      <c r="J36" s="4"/>
      <c r="K36" s="4"/>
      <c r="L36" s="4"/>
      <c r="M36" s="4"/>
      <c r="N36" s="4"/>
      <c r="O36" s="4"/>
      <c r="P36" s="4"/>
      <c r="Q36" s="4"/>
      <c r="R36" s="4"/>
      <c r="S36" s="4"/>
      <c r="T36">
        <f t="shared" si="0"/>
        <v>8</v>
      </c>
      <c r="U36" s="5">
        <f t="shared" si="1"/>
        <v>17.237500000000001</v>
      </c>
      <c r="V36" s="5">
        <f t="shared" si="2"/>
        <v>19.5</v>
      </c>
    </row>
    <row r="37" spans="1:22" x14ac:dyDescent="0.2">
      <c r="A37" s="4" t="s">
        <v>61</v>
      </c>
      <c r="B37" s="4">
        <v>29.8</v>
      </c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>
        <f t="shared" si="0"/>
        <v>1</v>
      </c>
      <c r="U37" s="5">
        <f t="shared" si="1"/>
        <v>29.8</v>
      </c>
      <c r="V37" s="5">
        <f t="shared" si="2"/>
        <v>29.8</v>
      </c>
    </row>
    <row r="38" spans="1:22" x14ac:dyDescent="0.2">
      <c r="A38" s="4" t="s">
        <v>62</v>
      </c>
      <c r="B38" s="4">
        <v>36.4</v>
      </c>
      <c r="C38" s="4">
        <v>33.1</v>
      </c>
      <c r="D38" s="4">
        <v>35.1</v>
      </c>
      <c r="E38" s="4">
        <v>14.2</v>
      </c>
      <c r="F38" s="4">
        <v>30.2</v>
      </c>
      <c r="G38" s="4">
        <v>3.7</v>
      </c>
      <c r="H38" s="4">
        <v>1.8</v>
      </c>
      <c r="I38" s="4">
        <v>2.4</v>
      </c>
      <c r="J38" s="4">
        <v>4.5</v>
      </c>
      <c r="K38" s="4"/>
      <c r="L38" s="4"/>
      <c r="M38" s="4"/>
      <c r="N38" s="4"/>
      <c r="O38" s="4"/>
      <c r="P38" s="4"/>
      <c r="Q38" s="4"/>
      <c r="R38" s="4"/>
      <c r="S38" s="4"/>
      <c r="T38">
        <f t="shared" si="0"/>
        <v>9</v>
      </c>
      <c r="U38" s="5">
        <f t="shared" si="1"/>
        <v>17.933333333333334</v>
      </c>
      <c r="V38" s="5">
        <f t="shared" si="2"/>
        <v>14.2</v>
      </c>
    </row>
    <row r="39" spans="1:22" x14ac:dyDescent="0.2">
      <c r="A39" s="4" t="s">
        <v>63</v>
      </c>
      <c r="B39" s="4">
        <v>50.5</v>
      </c>
      <c r="C39" s="4">
        <v>9.1999999999999993</v>
      </c>
      <c r="D39" s="4">
        <v>22.1</v>
      </c>
      <c r="E39" s="4">
        <v>22</v>
      </c>
      <c r="F39" s="4">
        <v>16.5</v>
      </c>
      <c r="G39" s="4">
        <v>35.6</v>
      </c>
      <c r="H39" s="4">
        <v>42.8</v>
      </c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>
        <f>COUNT(B39:S39)</f>
        <v>7</v>
      </c>
      <c r="U39" s="5">
        <f>AVERAGE(B39:S39)</f>
        <v>28.385714285714283</v>
      </c>
      <c r="V39" s="5">
        <f t="shared" si="2"/>
        <v>22.1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Planning</vt:lpstr>
      <vt:lpstr>shoot_data</vt:lpstr>
      <vt:lpstr>03_03_2026_raw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Demarais, Ceili</dc:creator>
  <cp:lastModifiedBy>Demarais, Ceili</cp:lastModifiedBy>
  <dcterms:created xsi:type="dcterms:W3CDTF">2026-02-13T17:50:22Z</dcterms:created>
  <dcterms:modified xsi:type="dcterms:W3CDTF">2026-03-06T18:19:21Z</dcterms:modified>
</cp:coreProperties>
</file>