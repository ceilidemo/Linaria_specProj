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sonstrand/Documents/GitHub/Linaria_specProj/"/>
    </mc:Choice>
  </mc:AlternateContent>
  <xr:revisionPtr revIDLastSave="0" documentId="13_ncr:1_{ED3292A9-F21C-C242-A0C8-499AB893419F}" xr6:coauthVersionLast="47" xr6:coauthVersionMax="47" xr10:uidLastSave="{00000000-0000-0000-0000-000000000000}"/>
  <bookViews>
    <workbookView xWindow="0" yWindow="660" windowWidth="30240" windowHeight="18980" xr2:uid="{8DE00727-C8D7-6A48-9276-98A4664605B4}"/>
  </bookViews>
  <sheets>
    <sheet name="D1 3 2 26" sheetId="2" r:id="rId1"/>
    <sheet name="D2 3 3 26" sheetId="1" r:id="rId2"/>
    <sheet name="D3 3 9 26" sheetId="3" r:id="rId3"/>
    <sheet name="check" sheetId="4" r:id="rId4"/>
    <sheet name="D4 3 16 26" sheetId="5" r:id="rId5"/>
    <sheet name="D5 3 23 26" sheetId="6" r:id="rId6"/>
    <sheet name="meta_data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9" i="5" l="1"/>
  <c r="D39" i="5"/>
  <c r="D36" i="5"/>
  <c r="J35" i="5"/>
  <c r="I35" i="5"/>
  <c r="D35" i="5"/>
  <c r="K34" i="5"/>
  <c r="D30" i="5"/>
  <c r="H26" i="5"/>
  <c r="F25" i="5"/>
  <c r="E25" i="5"/>
  <c r="D25" i="5"/>
  <c r="D23" i="5"/>
  <c r="F20" i="5"/>
  <c r="F17" i="5"/>
  <c r="F13" i="5"/>
  <c r="D10" i="5"/>
  <c r="D6" i="5"/>
  <c r="D5" i="5"/>
  <c r="D3" i="5"/>
  <c r="J2" i="5"/>
  <c r="D2" i="5"/>
  <c r="C2" i="4"/>
  <c r="B2" i="4"/>
  <c r="E17" i="3"/>
  <c r="C11" i="3"/>
  <c r="J10" i="3"/>
  <c r="I10" i="3"/>
  <c r="C10" i="3"/>
</calcChain>
</file>

<file path=xl/sharedStrings.xml><?xml version="1.0" encoding="utf-8"?>
<sst xmlns="http://schemas.openxmlformats.org/spreadsheetml/2006/main" count="399" uniqueCount="94">
  <si>
    <t>lc1</t>
  </si>
  <si>
    <t>lc6</t>
  </si>
  <si>
    <t>lc8</t>
  </si>
  <si>
    <t>lc7</t>
  </si>
  <si>
    <t>th1</t>
  </si>
  <si>
    <t>th8</t>
  </si>
  <si>
    <t>th6</t>
  </si>
  <si>
    <t>th4</t>
  </si>
  <si>
    <t>th7</t>
  </si>
  <si>
    <t>th2</t>
  </si>
  <si>
    <t>lc12</t>
  </si>
  <si>
    <t>th10</t>
  </si>
  <si>
    <t>c8</t>
  </si>
  <si>
    <t>c5</t>
  </si>
  <si>
    <t>c9</t>
  </si>
  <si>
    <t>th5</t>
  </si>
  <si>
    <t>c4</t>
  </si>
  <si>
    <t>c3</t>
  </si>
  <si>
    <t>th13</t>
  </si>
  <si>
    <t>th9</t>
  </si>
  <si>
    <t>c12</t>
  </si>
  <si>
    <t>c2</t>
  </si>
  <si>
    <t>c7</t>
  </si>
  <si>
    <t>c6</t>
  </si>
  <si>
    <t>c13</t>
  </si>
  <si>
    <t>c1</t>
  </si>
  <si>
    <t>th11</t>
  </si>
  <si>
    <t>lc3</t>
  </si>
  <si>
    <t>th12</t>
  </si>
  <si>
    <t>th3</t>
  </si>
  <si>
    <t>lc2</t>
  </si>
  <si>
    <t>lc13</t>
  </si>
  <si>
    <t>lc10</t>
  </si>
  <si>
    <t>lc5</t>
  </si>
  <si>
    <t>c10</t>
  </si>
  <si>
    <t>lc11</t>
  </si>
  <si>
    <t>lc9</t>
  </si>
  <si>
    <t>lc4</t>
  </si>
  <si>
    <t>date</t>
  </si>
  <si>
    <t>c11</t>
  </si>
  <si>
    <t>main_height</t>
  </si>
  <si>
    <t>s_1</t>
  </si>
  <si>
    <t>s_2</t>
  </si>
  <si>
    <t>s_3</t>
  </si>
  <si>
    <t>s_4</t>
  </si>
  <si>
    <t>s_5</t>
  </si>
  <si>
    <t>s_6</t>
  </si>
  <si>
    <t>s_7</t>
  </si>
  <si>
    <t>s_8</t>
  </si>
  <si>
    <t>s_9</t>
  </si>
  <si>
    <t>s_10</t>
  </si>
  <si>
    <t>s_11</t>
  </si>
  <si>
    <t>s_12</t>
  </si>
  <si>
    <t>s_13</t>
  </si>
  <si>
    <t>s_14</t>
  </si>
  <si>
    <t>s_15</t>
  </si>
  <si>
    <t>s_16</t>
  </si>
  <si>
    <t>s_17</t>
  </si>
  <si>
    <t>num_main</t>
  </si>
  <si>
    <t>num_small</t>
  </si>
  <si>
    <t>notes</t>
  </si>
  <si>
    <t>dry plant</t>
  </si>
  <si>
    <t>2 cut stems</t>
  </si>
  <si>
    <t>ceili forgot to mark leaves</t>
  </si>
  <si>
    <t>lower leaf not hole punched</t>
  </si>
  <si>
    <t>top not hole punched</t>
  </si>
  <si>
    <t>start</t>
  </si>
  <si>
    <t>end</t>
  </si>
  <si>
    <t>hold punch at 9:45</t>
  </si>
  <si>
    <t>cut tops at 9:20</t>
  </si>
  <si>
    <t>cut 8cm up for th plants</t>
  </si>
  <si>
    <t>bottom leaf broke off last time. Taking measurements from new leaf</t>
  </si>
  <si>
    <t>conused. Multiple marks of blue, go to top one</t>
  </si>
  <si>
    <t>cut_stem_shoots</t>
  </si>
  <si>
    <t>bottom leaf broke off today. Next time adding new one</t>
  </si>
  <si>
    <t>non main stem is super crispy, dried out. No blue mark. Added new one. On non-main line</t>
  </si>
  <si>
    <t>day</t>
  </si>
  <si>
    <t>count</t>
  </si>
  <si>
    <t>measured</t>
  </si>
  <si>
    <t>category</t>
  </si>
  <si>
    <t>t</t>
  </si>
  <si>
    <t>tall</t>
  </si>
  <si>
    <t>b</t>
  </si>
  <si>
    <t>bush</t>
  </si>
  <si>
    <t>s_1 is main height + sprouts</t>
  </si>
  <si>
    <t>no sprouts</t>
  </si>
  <si>
    <t>bush_score</t>
  </si>
  <si>
    <t>s_1 is main height + sprouts, top of non-side side stem broke</t>
  </si>
  <si>
    <t>bush score</t>
  </si>
  <si>
    <t>plant_id</t>
  </si>
  <si>
    <t>treatment</t>
  </si>
  <si>
    <t>control</t>
  </si>
  <si>
    <t>holepunch</t>
  </si>
  <si>
    <t>tophalf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</si>
</sst>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5" xfId="0" applyFill="1" applyBorder="1" applyAlignment="1">
      <alignment horizontal="left"/>
    </xf>
    <xf numFmtId="0" fontId="0" fillId="2" borderId="6" xfId="0" applyFill="1" applyBorder="1" applyAlignment="1">
      <alignment horizontal="center"/>
    </xf>
    <xf numFmtId="20" fontId="0" fillId="2" borderId="2" xfId="0" applyNumberFormat="1" applyFill="1" applyBorder="1" applyAlignment="1">
      <alignment horizontal="left"/>
    </xf>
    <xf numFmtId="20" fontId="0" fillId="2" borderId="5" xfId="0" applyNumberFormat="1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E7330-E0C1-2948-A84A-B54186389F4B}">
  <dimension ref="A1:S42"/>
  <sheetViews>
    <sheetView tabSelected="1" zoomScale="130" zoomScaleNormal="130" workbookViewId="0">
      <selection activeCell="B17" sqref="B17"/>
    </sheetView>
  </sheetViews>
  <sheetFormatPr baseColWidth="10" defaultRowHeight="16" x14ac:dyDescent="0.2"/>
  <cols>
    <col min="3" max="3" width="10.83203125" style="2"/>
    <col min="4" max="4" width="9.83203125" style="2" bestFit="1" customWidth="1"/>
    <col min="5" max="5" width="10.1640625" style="2" bestFit="1" customWidth="1"/>
    <col min="6" max="6" width="56" style="3" customWidth="1"/>
    <col min="7" max="19" width="6" style="2" customWidth="1"/>
  </cols>
  <sheetData>
    <row r="1" spans="1:6" x14ac:dyDescent="0.2">
      <c r="A1" s="12" t="s">
        <v>66</v>
      </c>
      <c r="B1" s="10">
        <v>0.35833333333333334</v>
      </c>
      <c r="C1" s="4"/>
      <c r="D1" s="5" t="s">
        <v>68</v>
      </c>
      <c r="E1" s="6"/>
      <c r="F1" s="3" t="s">
        <v>70</v>
      </c>
    </row>
    <row r="2" spans="1:6" x14ac:dyDescent="0.2">
      <c r="A2" s="13" t="s">
        <v>67</v>
      </c>
      <c r="B2" s="11">
        <v>0.46180555555555558</v>
      </c>
      <c r="C2" s="7"/>
      <c r="D2" s="8" t="s">
        <v>69</v>
      </c>
      <c r="E2" s="9"/>
    </row>
    <row r="3" spans="1:6" x14ac:dyDescent="0.2">
      <c r="A3" t="s">
        <v>38</v>
      </c>
      <c r="B3" t="s">
        <v>89</v>
      </c>
      <c r="C3" s="2" t="s">
        <v>40</v>
      </c>
      <c r="D3" s="2" t="s">
        <v>58</v>
      </c>
      <c r="E3" s="2" t="s">
        <v>59</v>
      </c>
      <c r="F3" s="3" t="s">
        <v>60</v>
      </c>
    </row>
    <row r="4" spans="1:6" x14ac:dyDescent="0.2">
      <c r="A4" s="1">
        <v>46083</v>
      </c>
      <c r="B4" t="s">
        <v>21</v>
      </c>
      <c r="C4" s="2">
        <v>22.1</v>
      </c>
      <c r="D4" s="2">
        <v>2</v>
      </c>
      <c r="E4" s="2">
        <v>3</v>
      </c>
    </row>
    <row r="5" spans="1:6" x14ac:dyDescent="0.2">
      <c r="A5" s="1">
        <v>46083</v>
      </c>
      <c r="B5" t="s">
        <v>22</v>
      </c>
      <c r="C5" s="2">
        <v>23.9</v>
      </c>
      <c r="D5" s="2">
        <v>4</v>
      </c>
      <c r="E5" s="2">
        <v>2</v>
      </c>
    </row>
    <row r="6" spans="1:6" x14ac:dyDescent="0.2">
      <c r="A6" s="1">
        <v>46083</v>
      </c>
      <c r="B6" t="s">
        <v>19</v>
      </c>
      <c r="C6" s="2">
        <v>28</v>
      </c>
      <c r="D6" s="2">
        <v>1</v>
      </c>
      <c r="E6" s="2">
        <v>10</v>
      </c>
    </row>
    <row r="7" spans="1:6" x14ac:dyDescent="0.2">
      <c r="A7" s="1">
        <v>46083</v>
      </c>
      <c r="B7" t="s">
        <v>37</v>
      </c>
      <c r="C7" s="2">
        <v>48.1</v>
      </c>
      <c r="D7" s="2">
        <v>4</v>
      </c>
      <c r="E7" s="2">
        <v>2</v>
      </c>
    </row>
    <row r="8" spans="1:6" x14ac:dyDescent="0.2">
      <c r="A8" s="1">
        <v>46083</v>
      </c>
      <c r="B8" t="s">
        <v>15</v>
      </c>
      <c r="C8" s="2">
        <v>10.8</v>
      </c>
      <c r="D8" s="2">
        <v>3</v>
      </c>
      <c r="E8" s="2">
        <v>3</v>
      </c>
    </row>
    <row r="9" spans="1:6" x14ac:dyDescent="0.2">
      <c r="A9" s="1">
        <v>46083</v>
      </c>
      <c r="B9" t="s">
        <v>33</v>
      </c>
      <c r="C9" s="2">
        <v>27.1</v>
      </c>
      <c r="D9" s="2">
        <v>1</v>
      </c>
      <c r="E9" s="2">
        <v>0</v>
      </c>
    </row>
    <row r="10" spans="1:6" x14ac:dyDescent="0.2">
      <c r="A10" s="1">
        <v>46083</v>
      </c>
      <c r="B10" t="s">
        <v>9</v>
      </c>
      <c r="C10" s="2">
        <v>34.1</v>
      </c>
      <c r="D10" s="2">
        <v>5</v>
      </c>
      <c r="E10" s="2">
        <v>2</v>
      </c>
      <c r="F10" s="3" t="s">
        <v>61</v>
      </c>
    </row>
    <row r="11" spans="1:6" x14ac:dyDescent="0.2">
      <c r="A11" s="1">
        <v>46083</v>
      </c>
      <c r="B11" t="s">
        <v>36</v>
      </c>
      <c r="C11" s="2">
        <v>36.4</v>
      </c>
      <c r="D11" s="2">
        <v>5</v>
      </c>
      <c r="E11" s="2">
        <v>4</v>
      </c>
    </row>
    <row r="12" spans="1:6" x14ac:dyDescent="0.2">
      <c r="A12" s="1">
        <v>46083</v>
      </c>
      <c r="B12" t="s">
        <v>7</v>
      </c>
      <c r="C12" s="2">
        <v>25.8</v>
      </c>
      <c r="D12" s="2">
        <v>5</v>
      </c>
      <c r="E12" s="2">
        <v>9</v>
      </c>
    </row>
    <row r="13" spans="1:6" x14ac:dyDescent="0.2">
      <c r="A13" s="1">
        <v>46083</v>
      </c>
      <c r="B13" t="s">
        <v>14</v>
      </c>
      <c r="C13" s="2">
        <v>35.9</v>
      </c>
      <c r="D13" s="2">
        <v>1</v>
      </c>
      <c r="E13" s="2">
        <v>1</v>
      </c>
    </row>
    <row r="14" spans="1:6" x14ac:dyDescent="0.2">
      <c r="A14" s="1">
        <v>46083</v>
      </c>
      <c r="B14" t="s">
        <v>17</v>
      </c>
      <c r="C14" s="2">
        <v>26.2</v>
      </c>
      <c r="D14" s="2">
        <v>6</v>
      </c>
      <c r="E14" s="2">
        <v>2</v>
      </c>
    </row>
    <row r="15" spans="1:6" x14ac:dyDescent="0.2">
      <c r="A15" s="1">
        <v>46083</v>
      </c>
      <c r="B15" t="s">
        <v>16</v>
      </c>
      <c r="C15" s="2">
        <v>29.6</v>
      </c>
      <c r="D15" s="2">
        <v>2</v>
      </c>
      <c r="E15" s="2">
        <v>4</v>
      </c>
    </row>
    <row r="16" spans="1:6" x14ac:dyDescent="0.2">
      <c r="A16" s="1">
        <v>46083</v>
      </c>
      <c r="B16" t="s">
        <v>32</v>
      </c>
      <c r="C16" s="2">
        <v>24.3</v>
      </c>
      <c r="D16" s="2">
        <v>6</v>
      </c>
      <c r="E16" s="2">
        <v>4</v>
      </c>
    </row>
    <row r="17" spans="1:6" x14ac:dyDescent="0.2">
      <c r="A17" s="1">
        <v>46083</v>
      </c>
      <c r="B17" t="s">
        <v>35</v>
      </c>
      <c r="C17" s="2">
        <v>28.4</v>
      </c>
      <c r="D17" s="2">
        <v>1</v>
      </c>
      <c r="E17" s="2">
        <v>0</v>
      </c>
    </row>
    <row r="18" spans="1:6" x14ac:dyDescent="0.2">
      <c r="A18" s="1">
        <v>46083</v>
      </c>
      <c r="B18" t="s">
        <v>6</v>
      </c>
      <c r="C18" s="2">
        <v>22.3</v>
      </c>
      <c r="D18" s="2">
        <v>5</v>
      </c>
      <c r="E18" s="2">
        <v>1</v>
      </c>
      <c r="F18" s="3" t="s">
        <v>62</v>
      </c>
    </row>
    <row r="19" spans="1:6" x14ac:dyDescent="0.2">
      <c r="A19" s="1">
        <v>46083</v>
      </c>
      <c r="B19" t="s">
        <v>20</v>
      </c>
      <c r="C19" s="2">
        <v>22.4</v>
      </c>
      <c r="D19" s="2">
        <v>3</v>
      </c>
      <c r="E19" s="2">
        <v>12</v>
      </c>
    </row>
    <row r="20" spans="1:6" x14ac:dyDescent="0.2">
      <c r="A20" s="1">
        <v>46083</v>
      </c>
      <c r="B20" t="s">
        <v>12</v>
      </c>
      <c r="C20" s="2">
        <v>28</v>
      </c>
      <c r="D20" s="2">
        <v>9</v>
      </c>
      <c r="E20" s="2">
        <v>4</v>
      </c>
    </row>
    <row r="21" spans="1:6" x14ac:dyDescent="0.2">
      <c r="A21" s="1">
        <v>46083</v>
      </c>
      <c r="B21" t="s">
        <v>1</v>
      </c>
      <c r="C21" s="2">
        <v>21.4</v>
      </c>
      <c r="D21" s="2">
        <v>1</v>
      </c>
      <c r="E21" s="2">
        <v>0</v>
      </c>
      <c r="F21" s="3" t="s">
        <v>63</v>
      </c>
    </row>
    <row r="22" spans="1:6" x14ac:dyDescent="0.2">
      <c r="A22" s="1">
        <v>46083</v>
      </c>
      <c r="B22" t="s">
        <v>4</v>
      </c>
      <c r="C22" s="2">
        <v>19.8</v>
      </c>
      <c r="D22" s="2">
        <v>1</v>
      </c>
      <c r="E22" s="2">
        <v>4</v>
      </c>
    </row>
    <row r="23" spans="1:6" x14ac:dyDescent="0.2">
      <c r="A23" s="1">
        <v>46083</v>
      </c>
      <c r="B23" t="s">
        <v>8</v>
      </c>
      <c r="C23" s="2">
        <v>18.399999999999999</v>
      </c>
      <c r="D23" s="2">
        <v>7</v>
      </c>
      <c r="E23" s="2">
        <v>3</v>
      </c>
    </row>
    <row r="24" spans="1:6" x14ac:dyDescent="0.2">
      <c r="A24" s="1">
        <v>46083</v>
      </c>
      <c r="B24" t="s">
        <v>10</v>
      </c>
      <c r="C24" s="2">
        <v>14.1</v>
      </c>
      <c r="D24" s="2">
        <v>5</v>
      </c>
      <c r="E24" s="2">
        <v>8</v>
      </c>
    </row>
    <row r="25" spans="1:6" x14ac:dyDescent="0.2">
      <c r="A25" s="1">
        <v>46083</v>
      </c>
      <c r="B25" t="s">
        <v>25</v>
      </c>
      <c r="C25" s="2">
        <v>16.100000000000001</v>
      </c>
      <c r="D25" s="2">
        <v>1</v>
      </c>
      <c r="E25" s="2">
        <v>0</v>
      </c>
    </row>
    <row r="26" spans="1:6" x14ac:dyDescent="0.2">
      <c r="A26" s="1">
        <v>46083</v>
      </c>
      <c r="B26" t="s">
        <v>13</v>
      </c>
      <c r="C26" s="2">
        <v>24.1</v>
      </c>
      <c r="D26" s="2">
        <v>9</v>
      </c>
      <c r="E26" s="2">
        <v>3</v>
      </c>
    </row>
    <row r="27" spans="1:6" x14ac:dyDescent="0.2">
      <c r="A27" s="1">
        <v>46083</v>
      </c>
      <c r="B27" t="s">
        <v>30</v>
      </c>
      <c r="C27" s="2">
        <v>23.5</v>
      </c>
      <c r="D27" s="2">
        <v>2</v>
      </c>
      <c r="E27" s="2">
        <v>2</v>
      </c>
      <c r="F27" s="3" t="s">
        <v>64</v>
      </c>
    </row>
    <row r="28" spans="1:6" x14ac:dyDescent="0.2">
      <c r="A28" s="1">
        <v>46083</v>
      </c>
      <c r="B28" t="s">
        <v>29</v>
      </c>
      <c r="C28" s="2">
        <v>19.100000000000001</v>
      </c>
      <c r="D28" s="2">
        <v>5</v>
      </c>
      <c r="E28" s="2">
        <v>0</v>
      </c>
    </row>
    <row r="29" spans="1:6" x14ac:dyDescent="0.2">
      <c r="A29" s="1">
        <v>46083</v>
      </c>
      <c r="B29" t="s">
        <v>5</v>
      </c>
      <c r="C29" s="2">
        <v>21.9</v>
      </c>
      <c r="D29" s="2">
        <v>1</v>
      </c>
      <c r="E29" s="2">
        <v>4</v>
      </c>
    </row>
    <row r="30" spans="1:6" x14ac:dyDescent="0.2">
      <c r="A30" s="1">
        <v>46083</v>
      </c>
      <c r="B30" t="s">
        <v>24</v>
      </c>
      <c r="C30" s="2">
        <v>14.6</v>
      </c>
      <c r="D30" s="2">
        <v>2</v>
      </c>
      <c r="E30" s="2">
        <v>1</v>
      </c>
    </row>
    <row r="31" spans="1:6" x14ac:dyDescent="0.2">
      <c r="A31" s="1">
        <v>46083</v>
      </c>
      <c r="B31" t="s">
        <v>31</v>
      </c>
      <c r="C31" s="2">
        <v>25.3</v>
      </c>
      <c r="D31" s="2">
        <v>2</v>
      </c>
      <c r="E31" s="2">
        <v>2</v>
      </c>
    </row>
    <row r="32" spans="1:6" x14ac:dyDescent="0.2">
      <c r="A32" s="1">
        <v>46083</v>
      </c>
      <c r="B32" t="s">
        <v>23</v>
      </c>
      <c r="C32" s="2">
        <v>24.5</v>
      </c>
      <c r="D32" s="2">
        <v>1</v>
      </c>
      <c r="E32" s="2">
        <v>0</v>
      </c>
    </row>
    <row r="33" spans="1:6" x14ac:dyDescent="0.2">
      <c r="A33" s="1">
        <v>46083</v>
      </c>
      <c r="B33" t="s">
        <v>11</v>
      </c>
      <c r="C33" s="2">
        <v>37.1</v>
      </c>
      <c r="D33" s="2">
        <v>5</v>
      </c>
      <c r="E33" s="2">
        <v>7</v>
      </c>
    </row>
    <row r="34" spans="1:6" x14ac:dyDescent="0.2">
      <c r="A34" s="1">
        <v>46083</v>
      </c>
      <c r="B34" t="s">
        <v>28</v>
      </c>
      <c r="C34" s="2">
        <v>29.9</v>
      </c>
      <c r="D34" s="2">
        <v>3</v>
      </c>
      <c r="E34" s="2">
        <v>2</v>
      </c>
    </row>
    <row r="35" spans="1:6" x14ac:dyDescent="0.2">
      <c r="A35" s="1">
        <v>46083</v>
      </c>
      <c r="B35" t="s">
        <v>18</v>
      </c>
      <c r="C35" s="2">
        <v>45.7</v>
      </c>
      <c r="D35" s="2">
        <v>5</v>
      </c>
      <c r="E35" s="2">
        <v>0</v>
      </c>
    </row>
    <row r="36" spans="1:6" x14ac:dyDescent="0.2">
      <c r="A36" s="1">
        <v>46083</v>
      </c>
      <c r="B36" t="s">
        <v>26</v>
      </c>
      <c r="C36" s="2">
        <v>54.8</v>
      </c>
      <c r="D36" s="2">
        <v>2</v>
      </c>
      <c r="E36" s="2">
        <v>10</v>
      </c>
    </row>
    <row r="37" spans="1:6" x14ac:dyDescent="0.2">
      <c r="A37" s="1">
        <v>46083</v>
      </c>
      <c r="B37" t="s">
        <v>27</v>
      </c>
      <c r="C37" s="2">
        <v>28.6</v>
      </c>
      <c r="D37" s="2">
        <v>8</v>
      </c>
      <c r="E37" s="2">
        <v>2</v>
      </c>
      <c r="F37" s="3" t="s">
        <v>65</v>
      </c>
    </row>
    <row r="38" spans="1:6" x14ac:dyDescent="0.2">
      <c r="A38" s="1">
        <v>46083</v>
      </c>
      <c r="B38" t="s">
        <v>34</v>
      </c>
      <c r="C38" s="2">
        <v>30.3</v>
      </c>
      <c r="D38" s="2">
        <v>6</v>
      </c>
      <c r="E38" s="2">
        <v>2</v>
      </c>
    </row>
    <row r="39" spans="1:6" x14ac:dyDescent="0.2">
      <c r="A39" s="1">
        <v>46083</v>
      </c>
      <c r="B39" t="s">
        <v>2</v>
      </c>
      <c r="C39" s="2">
        <v>25.6</v>
      </c>
      <c r="D39" s="2">
        <v>4</v>
      </c>
      <c r="E39" s="2">
        <v>2</v>
      </c>
      <c r="F39" s="3" t="s">
        <v>64</v>
      </c>
    </row>
    <row r="40" spans="1:6" x14ac:dyDescent="0.2">
      <c r="A40" s="1">
        <v>46083</v>
      </c>
      <c r="B40" t="s">
        <v>39</v>
      </c>
      <c r="C40" s="2">
        <v>28.4</v>
      </c>
      <c r="D40" s="2">
        <v>4</v>
      </c>
      <c r="E40" s="2">
        <v>1</v>
      </c>
    </row>
    <row r="41" spans="1:6" x14ac:dyDescent="0.2">
      <c r="A41" s="1">
        <v>46083</v>
      </c>
      <c r="B41" t="s">
        <v>0</v>
      </c>
      <c r="C41" s="2">
        <v>34</v>
      </c>
      <c r="D41" s="2">
        <v>10</v>
      </c>
      <c r="E41" s="2">
        <v>0</v>
      </c>
    </row>
    <row r="42" spans="1:6" x14ac:dyDescent="0.2">
      <c r="A42" s="1">
        <v>46083</v>
      </c>
      <c r="B42" t="s">
        <v>3</v>
      </c>
      <c r="C42" s="2">
        <v>34.200000000000003</v>
      </c>
      <c r="D42" s="2">
        <v>4</v>
      </c>
      <c r="E42" s="2">
        <v>0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38CE3-B565-C14E-B603-EA123DBD5CB3}">
  <dimension ref="A1:T78"/>
  <sheetViews>
    <sheetView zoomScale="130" zoomScaleNormal="130" workbookViewId="0">
      <selection activeCell="B2" sqref="B2"/>
    </sheetView>
  </sheetViews>
  <sheetFormatPr baseColWidth="10" defaultRowHeight="16" x14ac:dyDescent="0.2"/>
  <cols>
    <col min="3" max="3" width="10.83203125" style="2"/>
    <col min="4" max="13" width="5.1640625" style="2" bestFit="1" customWidth="1"/>
    <col min="14" max="16" width="4.83203125" style="2" bestFit="1" customWidth="1"/>
    <col min="17" max="17" width="5.1640625" style="2" bestFit="1" customWidth="1"/>
    <col min="18" max="20" width="4.83203125" style="2" bestFit="1" customWidth="1"/>
  </cols>
  <sheetData>
    <row r="1" spans="1:20" x14ac:dyDescent="0.2">
      <c r="A1" t="s">
        <v>38</v>
      </c>
      <c r="B1" t="s">
        <v>89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47</v>
      </c>
      <c r="K1" s="2" t="s">
        <v>48</v>
      </c>
      <c r="L1" s="2" t="s">
        <v>49</v>
      </c>
      <c r="M1" s="2" t="s">
        <v>50</v>
      </c>
      <c r="N1" s="2" t="s">
        <v>51</v>
      </c>
      <c r="O1" s="2" t="s">
        <v>52</v>
      </c>
      <c r="P1" s="2" t="s">
        <v>53</v>
      </c>
      <c r="Q1" s="2" t="s">
        <v>54</v>
      </c>
      <c r="R1" s="2" t="s">
        <v>55</v>
      </c>
      <c r="S1" s="2" t="s">
        <v>56</v>
      </c>
      <c r="T1" s="2" t="s">
        <v>57</v>
      </c>
    </row>
    <row r="2" spans="1:20" x14ac:dyDescent="0.2">
      <c r="A2" s="1">
        <v>46084</v>
      </c>
      <c r="B2" t="s">
        <v>6</v>
      </c>
      <c r="C2" s="2">
        <v>8.1</v>
      </c>
      <c r="D2" s="2">
        <v>7.9</v>
      </c>
      <c r="E2" s="2">
        <v>6.9</v>
      </c>
      <c r="F2" s="2">
        <v>19.600000000000001</v>
      </c>
      <c r="G2" s="2">
        <v>6.8</v>
      </c>
    </row>
    <row r="3" spans="1:20" x14ac:dyDescent="0.2">
      <c r="A3" s="1">
        <v>46084</v>
      </c>
      <c r="B3" t="s">
        <v>7</v>
      </c>
      <c r="C3" s="2">
        <v>8.4</v>
      </c>
      <c r="D3" s="2">
        <v>6.2</v>
      </c>
      <c r="E3" s="2">
        <v>14.6</v>
      </c>
      <c r="F3" s="2">
        <v>2.2000000000000002</v>
      </c>
      <c r="G3" s="2">
        <v>4.8</v>
      </c>
      <c r="H3" s="2">
        <v>16.3</v>
      </c>
      <c r="I3" s="2">
        <v>12.3</v>
      </c>
      <c r="J3" s="2">
        <v>24.4</v>
      </c>
      <c r="K3" s="2">
        <v>4.4000000000000004</v>
      </c>
    </row>
    <row r="4" spans="1:20" x14ac:dyDescent="0.2">
      <c r="A4" s="1">
        <v>46084</v>
      </c>
      <c r="B4" t="s">
        <v>8</v>
      </c>
      <c r="C4" s="2">
        <v>8.6</v>
      </c>
      <c r="D4" s="2">
        <v>11</v>
      </c>
      <c r="E4" s="2">
        <v>13.6</v>
      </c>
      <c r="F4" s="2">
        <v>19.8</v>
      </c>
      <c r="G4" s="2">
        <v>7.6</v>
      </c>
      <c r="H4" s="2">
        <v>19</v>
      </c>
      <c r="I4" s="2">
        <v>6.8</v>
      </c>
    </row>
    <row r="5" spans="1:20" x14ac:dyDescent="0.2">
      <c r="A5" s="1">
        <v>46084</v>
      </c>
      <c r="B5" t="s">
        <v>9</v>
      </c>
      <c r="C5" s="2">
        <v>8.3000000000000007</v>
      </c>
      <c r="D5" s="2">
        <v>26.1</v>
      </c>
      <c r="E5" s="2">
        <v>21.4</v>
      </c>
      <c r="F5" s="2">
        <v>25.4</v>
      </c>
      <c r="G5" s="2">
        <v>30.7</v>
      </c>
      <c r="H5" s="2">
        <v>3.8</v>
      </c>
      <c r="I5" s="2">
        <v>4.4000000000000004</v>
      </c>
    </row>
    <row r="6" spans="1:20" x14ac:dyDescent="0.2">
      <c r="A6" s="1">
        <v>46084</v>
      </c>
      <c r="B6" t="s">
        <v>10</v>
      </c>
      <c r="C6" s="2">
        <v>15.2</v>
      </c>
      <c r="D6" s="2">
        <v>12.2</v>
      </c>
      <c r="E6" s="2">
        <v>1</v>
      </c>
      <c r="F6" s="2">
        <v>0.8</v>
      </c>
      <c r="G6" s="2">
        <v>2</v>
      </c>
      <c r="H6" s="2">
        <v>1</v>
      </c>
      <c r="I6" s="2">
        <v>1</v>
      </c>
      <c r="J6" s="2">
        <v>0.6</v>
      </c>
      <c r="K6" s="2">
        <v>2.5</v>
      </c>
      <c r="L6" s="2">
        <v>5.5</v>
      </c>
      <c r="M6" s="2">
        <v>5</v>
      </c>
      <c r="N6" s="2">
        <v>2.6</v>
      </c>
      <c r="O6" s="2">
        <v>4.0999999999999996</v>
      </c>
      <c r="P6" s="2">
        <v>3.1</v>
      </c>
      <c r="Q6" s="2">
        <v>7.7</v>
      </c>
    </row>
    <row r="7" spans="1:20" x14ac:dyDescent="0.2">
      <c r="A7" s="1">
        <v>46084</v>
      </c>
      <c r="B7" t="s">
        <v>0</v>
      </c>
      <c r="C7" s="2">
        <v>34.5</v>
      </c>
      <c r="D7" s="2">
        <v>8</v>
      </c>
      <c r="E7" s="2">
        <v>3.1</v>
      </c>
      <c r="F7" s="2">
        <v>6</v>
      </c>
      <c r="G7" s="2">
        <v>7</v>
      </c>
      <c r="H7" s="2">
        <v>6.6</v>
      </c>
      <c r="I7" s="2">
        <v>4.2</v>
      </c>
      <c r="J7" s="2">
        <v>37</v>
      </c>
      <c r="K7" s="2">
        <v>35.799999999999997</v>
      </c>
      <c r="L7" s="2">
        <v>36.200000000000003</v>
      </c>
    </row>
    <row r="8" spans="1:20" x14ac:dyDescent="0.2">
      <c r="A8" s="1">
        <v>46084</v>
      </c>
      <c r="B8" t="s">
        <v>1</v>
      </c>
      <c r="C8" s="2">
        <v>22.5</v>
      </c>
    </row>
    <row r="9" spans="1:20" x14ac:dyDescent="0.2">
      <c r="A9" s="1">
        <v>46084</v>
      </c>
      <c r="B9" t="s">
        <v>2</v>
      </c>
      <c r="C9" s="2">
        <v>27.5</v>
      </c>
      <c r="D9" s="2">
        <v>17.600000000000001</v>
      </c>
      <c r="E9" s="2">
        <v>15.5</v>
      </c>
      <c r="F9" s="2">
        <v>4.7</v>
      </c>
      <c r="G9" s="2">
        <v>1</v>
      </c>
      <c r="H9" s="2">
        <v>3.4</v>
      </c>
    </row>
    <row r="10" spans="1:20" x14ac:dyDescent="0.2">
      <c r="A10" s="1">
        <v>46084</v>
      </c>
      <c r="B10" t="s">
        <v>3</v>
      </c>
      <c r="C10" s="2">
        <v>36.4</v>
      </c>
      <c r="D10" s="2">
        <v>4.5</v>
      </c>
      <c r="E10" s="2">
        <v>14.1</v>
      </c>
      <c r="F10" s="2">
        <v>7.9</v>
      </c>
    </row>
    <row r="11" spans="1:20" x14ac:dyDescent="0.2">
      <c r="A11" s="1">
        <v>46084</v>
      </c>
      <c r="B11" t="s">
        <v>4</v>
      </c>
      <c r="C11" s="2">
        <v>8.6</v>
      </c>
      <c r="D11" s="2">
        <v>3.4</v>
      </c>
      <c r="E11" s="2">
        <v>3.2</v>
      </c>
      <c r="F11" s="2">
        <v>4.0999999999999996</v>
      </c>
      <c r="G11" s="2">
        <v>0.7</v>
      </c>
    </row>
    <row r="12" spans="1:20" x14ac:dyDescent="0.2">
      <c r="A12" s="1">
        <v>46084</v>
      </c>
      <c r="B12" t="s">
        <v>5</v>
      </c>
      <c r="C12" s="2">
        <v>8.5</v>
      </c>
      <c r="D12" s="2">
        <v>2.8</v>
      </c>
      <c r="E12" s="2">
        <v>2.4</v>
      </c>
      <c r="F12" s="2">
        <v>0.6</v>
      </c>
    </row>
    <row r="13" spans="1:20" x14ac:dyDescent="0.2">
      <c r="A13" s="1">
        <v>46084</v>
      </c>
      <c r="B13" t="s">
        <v>11</v>
      </c>
      <c r="C13" s="2">
        <v>8.6999999999999993</v>
      </c>
      <c r="D13" s="2">
        <v>7.2</v>
      </c>
      <c r="E13" s="2">
        <v>5.7</v>
      </c>
      <c r="F13" s="2">
        <v>2.5</v>
      </c>
      <c r="G13" s="2">
        <v>16.100000000000001</v>
      </c>
      <c r="H13" s="2">
        <v>14.5</v>
      </c>
      <c r="I13" s="2">
        <v>16.399999999999999</v>
      </c>
      <c r="J13" s="2">
        <v>3.9</v>
      </c>
      <c r="K13" s="2">
        <v>0.5</v>
      </c>
      <c r="L13" s="2">
        <v>0.4</v>
      </c>
    </row>
    <row r="14" spans="1:20" x14ac:dyDescent="0.2">
      <c r="A14" s="1">
        <v>46084</v>
      </c>
      <c r="B14" t="s">
        <v>12</v>
      </c>
      <c r="C14" s="2">
        <v>30</v>
      </c>
      <c r="D14" s="2">
        <v>25</v>
      </c>
      <c r="E14" s="2">
        <v>19.8</v>
      </c>
      <c r="F14" s="2">
        <v>20.8</v>
      </c>
      <c r="G14" s="2">
        <v>18.600000000000001</v>
      </c>
      <c r="H14" s="2">
        <v>30</v>
      </c>
      <c r="I14" s="2">
        <v>20</v>
      </c>
      <c r="J14" s="2">
        <v>18.2</v>
      </c>
      <c r="K14" s="2">
        <v>11.1</v>
      </c>
      <c r="L14" s="2">
        <v>2.5</v>
      </c>
      <c r="M14" s="2">
        <v>2.7</v>
      </c>
      <c r="N14" s="2">
        <v>1.9</v>
      </c>
      <c r="O14" s="2">
        <v>1</v>
      </c>
      <c r="P14" s="2">
        <v>2.6</v>
      </c>
    </row>
    <row r="15" spans="1:20" x14ac:dyDescent="0.2">
      <c r="A15" s="1">
        <v>46084</v>
      </c>
      <c r="B15" t="s">
        <v>13</v>
      </c>
      <c r="C15" s="2">
        <v>25.3</v>
      </c>
      <c r="D15" s="2">
        <v>5.9</v>
      </c>
      <c r="E15" s="2">
        <v>8</v>
      </c>
      <c r="F15" s="2">
        <v>7.5</v>
      </c>
      <c r="G15" s="2">
        <v>11.5</v>
      </c>
      <c r="H15" s="2">
        <v>13</v>
      </c>
      <c r="I15" s="2">
        <v>7.6</v>
      </c>
      <c r="J15" s="2">
        <v>13.5</v>
      </c>
      <c r="K15" s="2">
        <v>14.2</v>
      </c>
      <c r="L15" s="2">
        <v>6.9</v>
      </c>
      <c r="M15" s="2">
        <v>10.5</v>
      </c>
    </row>
    <row r="16" spans="1:20" x14ac:dyDescent="0.2">
      <c r="A16" s="1">
        <v>46084</v>
      </c>
      <c r="B16" t="s">
        <v>14</v>
      </c>
      <c r="C16" s="2">
        <v>38.200000000000003</v>
      </c>
      <c r="D16" s="2">
        <v>10.6</v>
      </c>
    </row>
    <row r="17" spans="1:20" x14ac:dyDescent="0.2">
      <c r="A17" s="1">
        <v>46084</v>
      </c>
      <c r="B17" t="s">
        <v>15</v>
      </c>
      <c r="C17" s="2">
        <v>8.3000000000000007</v>
      </c>
      <c r="D17" s="2">
        <v>6.3</v>
      </c>
      <c r="E17" s="2">
        <v>8.6999999999999993</v>
      </c>
      <c r="F17" s="2">
        <v>10.4</v>
      </c>
      <c r="G17" s="2">
        <v>2.2999999999999998</v>
      </c>
      <c r="H17" s="2">
        <v>1.5</v>
      </c>
    </row>
    <row r="18" spans="1:20" x14ac:dyDescent="0.2">
      <c r="A18" s="1">
        <v>46084</v>
      </c>
      <c r="B18" t="s">
        <v>16</v>
      </c>
      <c r="C18" s="2">
        <v>31.6</v>
      </c>
      <c r="D18" s="2">
        <v>24.9</v>
      </c>
      <c r="E18" s="2">
        <v>8</v>
      </c>
      <c r="F18" s="2">
        <v>3.5</v>
      </c>
      <c r="G18" s="2">
        <v>3.4</v>
      </c>
      <c r="H18" s="2">
        <v>4.5</v>
      </c>
    </row>
    <row r="19" spans="1:20" x14ac:dyDescent="0.2">
      <c r="A19" s="1">
        <v>46084</v>
      </c>
      <c r="B19" t="s">
        <v>17</v>
      </c>
      <c r="C19" s="2">
        <v>27.4</v>
      </c>
      <c r="D19" s="2">
        <v>29.8</v>
      </c>
      <c r="E19" s="2">
        <v>17.399999999999999</v>
      </c>
      <c r="F19" s="2">
        <v>19.399999999999999</v>
      </c>
      <c r="G19" s="2">
        <v>24.6</v>
      </c>
      <c r="H19" s="2">
        <v>16.600000000000001</v>
      </c>
      <c r="I19" s="2">
        <v>9.6999999999999993</v>
      </c>
      <c r="J19" s="2">
        <v>2.8</v>
      </c>
      <c r="K19" s="2">
        <v>1.4</v>
      </c>
    </row>
    <row r="20" spans="1:20" x14ac:dyDescent="0.2">
      <c r="A20" s="1">
        <v>46084</v>
      </c>
      <c r="B20" t="s">
        <v>18</v>
      </c>
      <c r="C20" s="2">
        <v>10.1</v>
      </c>
      <c r="D20" s="2">
        <v>31.2</v>
      </c>
      <c r="E20" s="2">
        <v>27.2</v>
      </c>
      <c r="F20" s="2">
        <v>5.0999999999999996</v>
      </c>
      <c r="G20" s="2">
        <v>26</v>
      </c>
    </row>
    <row r="21" spans="1:20" x14ac:dyDescent="0.2">
      <c r="A21" s="1">
        <v>46084</v>
      </c>
      <c r="B21" t="s">
        <v>19</v>
      </c>
      <c r="C21" s="2">
        <v>9.5</v>
      </c>
      <c r="D21" s="2">
        <v>8</v>
      </c>
      <c r="E21" s="2">
        <v>1.5</v>
      </c>
      <c r="F21" s="2">
        <v>7.4</v>
      </c>
      <c r="G21" s="2">
        <v>3.5</v>
      </c>
      <c r="H21" s="2">
        <v>3</v>
      </c>
      <c r="I21" s="2">
        <v>1</v>
      </c>
      <c r="J21" s="2">
        <v>7</v>
      </c>
      <c r="K21" s="2">
        <v>2.7</v>
      </c>
      <c r="L21" s="2">
        <v>4.5</v>
      </c>
      <c r="M21" s="2">
        <v>2.5</v>
      </c>
      <c r="N21" s="2">
        <v>3</v>
      </c>
      <c r="O21" s="2">
        <v>3</v>
      </c>
      <c r="P21" s="2">
        <v>3.5</v>
      </c>
      <c r="Q21" s="2">
        <v>6.6</v>
      </c>
    </row>
    <row r="22" spans="1:20" x14ac:dyDescent="0.2">
      <c r="A22" s="1">
        <v>46084</v>
      </c>
      <c r="B22" t="s">
        <v>20</v>
      </c>
      <c r="C22" s="2">
        <v>22.5</v>
      </c>
      <c r="D22" s="2">
        <v>2.5</v>
      </c>
      <c r="E22" s="2">
        <v>3</v>
      </c>
      <c r="F22" s="2">
        <v>1.5</v>
      </c>
      <c r="G22" s="2">
        <v>3.6</v>
      </c>
      <c r="H22" s="2">
        <v>3</v>
      </c>
      <c r="I22" s="2">
        <v>10</v>
      </c>
      <c r="J22" s="2">
        <v>2.2000000000000002</v>
      </c>
      <c r="K22" s="2">
        <v>2.5</v>
      </c>
      <c r="L22" s="2">
        <v>2</v>
      </c>
      <c r="M22" s="2">
        <v>4</v>
      </c>
      <c r="N22" s="2">
        <v>5.5</v>
      </c>
      <c r="O22" s="2">
        <v>6</v>
      </c>
      <c r="P22" s="2">
        <v>4.8</v>
      </c>
      <c r="Q22" s="2">
        <v>15.6</v>
      </c>
      <c r="R22" s="2">
        <v>3.1</v>
      </c>
      <c r="S22" s="2">
        <v>5.9</v>
      </c>
      <c r="T22" s="2">
        <v>1</v>
      </c>
    </row>
    <row r="23" spans="1:20" x14ac:dyDescent="0.2">
      <c r="A23" s="1">
        <v>46084</v>
      </c>
      <c r="B23" t="s">
        <v>22</v>
      </c>
      <c r="C23" s="2">
        <v>22.6</v>
      </c>
      <c r="D23" s="2">
        <v>16.100000000000001</v>
      </c>
    </row>
    <row r="24" spans="1:20" x14ac:dyDescent="0.2">
      <c r="A24" s="1">
        <v>46084</v>
      </c>
      <c r="B24" t="s">
        <v>21</v>
      </c>
      <c r="C24" s="2">
        <v>23.6</v>
      </c>
      <c r="D24" s="2">
        <v>7.2</v>
      </c>
      <c r="E24" s="2">
        <v>0.6</v>
      </c>
      <c r="F24" s="2">
        <v>23.5</v>
      </c>
      <c r="G24" s="2">
        <v>17.2</v>
      </c>
    </row>
    <row r="25" spans="1:20" x14ac:dyDescent="0.2">
      <c r="A25" s="1">
        <v>46084</v>
      </c>
      <c r="B25" t="s">
        <v>23</v>
      </c>
      <c r="C25" s="2">
        <v>24.3</v>
      </c>
    </row>
    <row r="26" spans="1:20" x14ac:dyDescent="0.2">
      <c r="A26" s="1">
        <v>46084</v>
      </c>
      <c r="B26" t="s">
        <v>24</v>
      </c>
      <c r="C26" s="2">
        <v>15.2</v>
      </c>
      <c r="D26" s="2">
        <v>12.3</v>
      </c>
      <c r="E26" s="2">
        <v>1.2</v>
      </c>
    </row>
    <row r="27" spans="1:20" x14ac:dyDescent="0.2">
      <c r="A27" s="1">
        <v>46084</v>
      </c>
      <c r="B27" t="s">
        <v>25</v>
      </c>
      <c r="C27" s="2">
        <v>16.899999999999999</v>
      </c>
    </row>
    <row r="28" spans="1:20" x14ac:dyDescent="0.2">
      <c r="A28" s="1">
        <v>46084</v>
      </c>
      <c r="B28" t="s">
        <v>26</v>
      </c>
      <c r="C28" s="2">
        <v>9.5</v>
      </c>
      <c r="D28" s="2">
        <v>39.5</v>
      </c>
      <c r="E28" s="2">
        <v>3</v>
      </c>
      <c r="F28" s="2">
        <v>2.5</v>
      </c>
      <c r="G28" s="2">
        <v>1.2</v>
      </c>
      <c r="H28" s="2">
        <v>1.5</v>
      </c>
      <c r="I28" s="2">
        <v>0.5</v>
      </c>
    </row>
    <row r="29" spans="1:20" x14ac:dyDescent="0.2">
      <c r="A29" s="1">
        <v>46084</v>
      </c>
      <c r="B29" t="s">
        <v>27</v>
      </c>
      <c r="C29" s="2">
        <v>30.7</v>
      </c>
      <c r="D29" s="2">
        <v>6.2</v>
      </c>
      <c r="E29" s="2">
        <v>4.9000000000000004</v>
      </c>
      <c r="F29" s="2">
        <v>3.1</v>
      </c>
      <c r="G29" s="2">
        <v>3.6</v>
      </c>
      <c r="H29" s="2">
        <v>3.7</v>
      </c>
      <c r="I29" s="2">
        <v>6.7</v>
      </c>
      <c r="J29" s="2">
        <v>27.5</v>
      </c>
      <c r="K29" s="2">
        <v>10.5</v>
      </c>
      <c r="L29" s="2">
        <v>1.4</v>
      </c>
    </row>
    <row r="30" spans="1:20" x14ac:dyDescent="0.2">
      <c r="A30" s="1">
        <v>46084</v>
      </c>
      <c r="B30" t="s">
        <v>28</v>
      </c>
      <c r="C30" s="2">
        <v>7.6</v>
      </c>
      <c r="D30" s="2">
        <v>3.1</v>
      </c>
      <c r="E30" s="2">
        <v>10.9</v>
      </c>
      <c r="F30" s="2">
        <v>17.100000000000001</v>
      </c>
      <c r="G30" s="2">
        <v>3.2</v>
      </c>
    </row>
    <row r="31" spans="1:20" x14ac:dyDescent="0.2">
      <c r="A31" s="1">
        <v>46084</v>
      </c>
      <c r="B31" t="s">
        <v>29</v>
      </c>
      <c r="C31" s="2">
        <v>9.1999999999999993</v>
      </c>
      <c r="D31" s="2">
        <v>6.3</v>
      </c>
      <c r="E31" s="2">
        <v>7.6</v>
      </c>
      <c r="F31" s="2">
        <v>8.9</v>
      </c>
      <c r="G31" s="2">
        <v>12.1</v>
      </c>
    </row>
    <row r="32" spans="1:20" x14ac:dyDescent="0.2">
      <c r="A32" s="1">
        <v>46084</v>
      </c>
      <c r="B32" t="s">
        <v>31</v>
      </c>
      <c r="C32" s="2">
        <v>26.5</v>
      </c>
      <c r="D32" s="2">
        <v>9.6</v>
      </c>
    </row>
    <row r="33" spans="1:15" x14ac:dyDescent="0.2">
      <c r="A33" s="1">
        <v>46084</v>
      </c>
      <c r="B33" t="s">
        <v>30</v>
      </c>
      <c r="C33" s="2">
        <v>24</v>
      </c>
      <c r="D33" s="2">
        <v>7.5</v>
      </c>
      <c r="E33" s="2">
        <v>6.4</v>
      </c>
      <c r="F33" s="2">
        <v>4.3</v>
      </c>
      <c r="G33" s="2">
        <v>8.4</v>
      </c>
    </row>
    <row r="34" spans="1:15" x14ac:dyDescent="0.2">
      <c r="A34" s="1">
        <v>46084</v>
      </c>
      <c r="B34" t="s">
        <v>32</v>
      </c>
      <c r="C34" s="2">
        <v>25.8</v>
      </c>
      <c r="D34" s="2">
        <v>15.5</v>
      </c>
      <c r="E34" s="2">
        <v>17.399999999999999</v>
      </c>
      <c r="F34" s="2">
        <v>17.100000000000001</v>
      </c>
      <c r="G34" s="2">
        <v>15.5</v>
      </c>
      <c r="H34" s="2">
        <v>4</v>
      </c>
      <c r="I34" s="2">
        <v>6</v>
      </c>
      <c r="J34" s="2">
        <v>8.5</v>
      </c>
      <c r="K34" s="2">
        <v>1.5</v>
      </c>
      <c r="L34" s="2">
        <v>0.5</v>
      </c>
      <c r="M34" s="2">
        <v>14.5</v>
      </c>
      <c r="N34" s="2">
        <v>8.4</v>
      </c>
      <c r="O34" s="2">
        <v>10</v>
      </c>
    </row>
    <row r="35" spans="1:15" x14ac:dyDescent="0.2">
      <c r="A35" s="1">
        <v>46084</v>
      </c>
      <c r="B35" t="s">
        <v>33</v>
      </c>
      <c r="C35" s="2">
        <v>27.2</v>
      </c>
    </row>
    <row r="36" spans="1:15" x14ac:dyDescent="0.2">
      <c r="A36" s="1">
        <v>46084</v>
      </c>
      <c r="B36" t="s">
        <v>34</v>
      </c>
      <c r="C36" s="2">
        <v>33.1</v>
      </c>
      <c r="D36" s="2">
        <v>18.5</v>
      </c>
      <c r="E36" s="2">
        <v>21.3</v>
      </c>
      <c r="F36" s="2">
        <v>12.4</v>
      </c>
      <c r="G36" s="2">
        <v>2.6</v>
      </c>
      <c r="H36" s="2">
        <v>20.5</v>
      </c>
      <c r="I36" s="2">
        <v>26.1</v>
      </c>
      <c r="J36" s="2">
        <v>3.4</v>
      </c>
    </row>
    <row r="37" spans="1:15" x14ac:dyDescent="0.2">
      <c r="A37" s="1">
        <v>46084</v>
      </c>
      <c r="B37" t="s">
        <v>35</v>
      </c>
      <c r="C37" s="2">
        <v>29.8</v>
      </c>
    </row>
    <row r="38" spans="1:15" x14ac:dyDescent="0.2">
      <c r="A38" s="1">
        <v>46084</v>
      </c>
      <c r="B38" t="s">
        <v>36</v>
      </c>
      <c r="C38" s="2">
        <v>36.4</v>
      </c>
      <c r="D38" s="2">
        <v>33.1</v>
      </c>
      <c r="E38" s="2">
        <v>35.1</v>
      </c>
      <c r="F38" s="2">
        <v>14.2</v>
      </c>
      <c r="G38" s="2">
        <v>30.2</v>
      </c>
      <c r="H38" s="2">
        <v>3.7</v>
      </c>
      <c r="I38" s="2">
        <v>1.8</v>
      </c>
      <c r="J38" s="2">
        <v>2.4</v>
      </c>
      <c r="K38" s="2">
        <v>4.5</v>
      </c>
    </row>
    <row r="39" spans="1:15" x14ac:dyDescent="0.2">
      <c r="A39" s="1">
        <v>46084</v>
      </c>
      <c r="B39" t="s">
        <v>37</v>
      </c>
      <c r="C39" s="2">
        <v>50.5</v>
      </c>
      <c r="D39" s="2">
        <v>9.1999999999999993</v>
      </c>
      <c r="E39" s="2">
        <v>22.1</v>
      </c>
      <c r="F39" s="2">
        <v>22</v>
      </c>
      <c r="G39" s="2">
        <v>16.5</v>
      </c>
      <c r="H39" s="2">
        <v>35.6</v>
      </c>
      <c r="I39" s="2">
        <v>42.8</v>
      </c>
    </row>
    <row r="40" spans="1:15" x14ac:dyDescent="0.2">
      <c r="A40" s="1"/>
    </row>
    <row r="41" spans="1:15" x14ac:dyDescent="0.2">
      <c r="A41" s="1"/>
    </row>
    <row r="42" spans="1:15" x14ac:dyDescent="0.2">
      <c r="A42" s="1"/>
    </row>
    <row r="43" spans="1:15" x14ac:dyDescent="0.2">
      <c r="A43" s="1"/>
    </row>
    <row r="44" spans="1:15" x14ac:dyDescent="0.2">
      <c r="A44" s="1"/>
    </row>
    <row r="45" spans="1:15" x14ac:dyDescent="0.2">
      <c r="A45" s="1"/>
    </row>
    <row r="46" spans="1:15" x14ac:dyDescent="0.2">
      <c r="A46" s="1"/>
    </row>
    <row r="47" spans="1:15" x14ac:dyDescent="0.2">
      <c r="A47" s="1"/>
    </row>
    <row r="48" spans="1:15" x14ac:dyDescent="0.2">
      <c r="A48" s="1"/>
    </row>
    <row r="49" spans="1:1" x14ac:dyDescent="0.2">
      <c r="A49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  <row r="78" spans="1:1" x14ac:dyDescent="0.2">
      <c r="A78" s="1"/>
    </row>
  </sheetData>
  <phoneticPr fontId="1" type="noConversion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FBDB2-05DA-4147-86EE-87FF8AF99D12}">
  <dimension ref="A1:W42"/>
  <sheetViews>
    <sheetView zoomScale="130" zoomScaleNormal="130" workbookViewId="0">
      <pane ySplit="1" topLeftCell="A2" activePane="bottomLeft" state="frozen"/>
      <selection pane="bottomLeft" activeCell="B2" sqref="B2"/>
    </sheetView>
  </sheetViews>
  <sheetFormatPr baseColWidth="10" defaultRowHeight="16" x14ac:dyDescent="0.2"/>
  <cols>
    <col min="4" max="19" width="4.5" customWidth="1"/>
  </cols>
  <sheetData>
    <row r="1" spans="1:23" x14ac:dyDescent="0.2">
      <c r="A1" t="s">
        <v>38</v>
      </c>
      <c r="B1" t="s">
        <v>89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47</v>
      </c>
      <c r="K1" s="2" t="s">
        <v>48</v>
      </c>
      <c r="L1" s="2" t="s">
        <v>49</v>
      </c>
      <c r="M1" s="2" t="s">
        <v>50</v>
      </c>
      <c r="N1" s="2" t="s">
        <v>51</v>
      </c>
      <c r="O1" s="2" t="s">
        <v>52</v>
      </c>
      <c r="P1" s="2" t="s">
        <v>53</v>
      </c>
      <c r="Q1" s="2" t="s">
        <v>54</v>
      </c>
      <c r="R1" s="2" t="s">
        <v>55</v>
      </c>
      <c r="S1" s="2" t="s">
        <v>56</v>
      </c>
      <c r="T1" s="2" t="s">
        <v>60</v>
      </c>
      <c r="U1" s="2" t="s">
        <v>73</v>
      </c>
    </row>
    <row r="2" spans="1:23" x14ac:dyDescent="0.2">
      <c r="A2" s="1">
        <v>46090</v>
      </c>
      <c r="B2" t="s">
        <v>39</v>
      </c>
      <c r="C2">
        <v>45.6</v>
      </c>
      <c r="D2">
        <v>44.6</v>
      </c>
      <c r="E2">
        <v>38.5</v>
      </c>
      <c r="F2">
        <v>24.5</v>
      </c>
      <c r="G2">
        <v>8.8000000000000007</v>
      </c>
      <c r="H2">
        <v>1.8</v>
      </c>
      <c r="I2">
        <v>0.6</v>
      </c>
    </row>
    <row r="3" spans="1:23" x14ac:dyDescent="0.2">
      <c r="A3" s="1">
        <v>46090</v>
      </c>
      <c r="B3" t="s">
        <v>7</v>
      </c>
      <c r="C3">
        <v>7.5</v>
      </c>
    </row>
    <row r="4" spans="1:23" x14ac:dyDescent="0.2">
      <c r="A4" s="1">
        <v>46090</v>
      </c>
      <c r="B4" t="s">
        <v>4</v>
      </c>
      <c r="C4">
        <v>8.3000000000000007</v>
      </c>
      <c r="D4">
        <v>2.7</v>
      </c>
      <c r="E4">
        <v>3</v>
      </c>
      <c r="F4">
        <v>4.5</v>
      </c>
    </row>
    <row r="5" spans="1:23" x14ac:dyDescent="0.2">
      <c r="A5" s="1">
        <v>46090</v>
      </c>
      <c r="B5" t="s">
        <v>1</v>
      </c>
      <c r="C5">
        <v>32.1</v>
      </c>
      <c r="D5">
        <v>1.2</v>
      </c>
    </row>
    <row r="6" spans="1:23" x14ac:dyDescent="0.2">
      <c r="A6" s="1">
        <v>46090</v>
      </c>
      <c r="B6" t="s">
        <v>14</v>
      </c>
      <c r="C6">
        <v>49.2</v>
      </c>
      <c r="D6">
        <v>14.7</v>
      </c>
      <c r="T6" t="s">
        <v>74</v>
      </c>
    </row>
    <row r="7" spans="1:23" x14ac:dyDescent="0.2">
      <c r="A7" s="1">
        <v>46090</v>
      </c>
      <c r="B7" t="s">
        <v>2</v>
      </c>
      <c r="C7">
        <v>40.9</v>
      </c>
      <c r="D7">
        <v>32.200000000000003</v>
      </c>
      <c r="E7">
        <v>29.1</v>
      </c>
      <c r="F7">
        <v>4.5999999999999996</v>
      </c>
      <c r="G7">
        <v>3.2</v>
      </c>
      <c r="H7">
        <v>2.4</v>
      </c>
      <c r="T7" t="s">
        <v>71</v>
      </c>
    </row>
    <row r="8" spans="1:23" x14ac:dyDescent="0.2">
      <c r="A8" s="1">
        <v>46090</v>
      </c>
      <c r="B8" t="s">
        <v>23</v>
      </c>
      <c r="C8">
        <v>31.1</v>
      </c>
      <c r="T8" t="s">
        <v>72</v>
      </c>
    </row>
    <row r="9" spans="1:23" x14ac:dyDescent="0.2">
      <c r="A9" s="1">
        <v>46090</v>
      </c>
      <c r="B9" t="s">
        <v>9</v>
      </c>
      <c r="C9">
        <v>8.5</v>
      </c>
      <c r="D9">
        <v>27.6</v>
      </c>
      <c r="E9">
        <v>29.1</v>
      </c>
      <c r="F9">
        <v>26.5</v>
      </c>
      <c r="G9">
        <v>24.5</v>
      </c>
      <c r="H9">
        <v>5.4</v>
      </c>
      <c r="I9">
        <v>6.1</v>
      </c>
    </row>
    <row r="10" spans="1:23" x14ac:dyDescent="0.2">
      <c r="A10" s="1">
        <v>46090</v>
      </c>
      <c r="B10" t="s">
        <v>37</v>
      </c>
      <c r="C10">
        <f>45+21.7</f>
        <v>66.7</v>
      </c>
      <c r="D10">
        <v>37</v>
      </c>
      <c r="E10">
        <v>5.6</v>
      </c>
      <c r="F10">
        <v>4.3</v>
      </c>
      <c r="G10">
        <v>34.4</v>
      </c>
      <c r="H10">
        <v>16.5</v>
      </c>
      <c r="I10">
        <f>45+9.2</f>
        <v>54.2</v>
      </c>
      <c r="J10">
        <f>45+11.8</f>
        <v>56.8</v>
      </c>
    </row>
    <row r="11" spans="1:23" x14ac:dyDescent="0.2">
      <c r="A11" s="1">
        <v>46090</v>
      </c>
      <c r="B11" t="s">
        <v>3</v>
      </c>
      <c r="C11">
        <f>45+7.1</f>
        <v>52.1</v>
      </c>
      <c r="D11">
        <v>20.6</v>
      </c>
    </row>
    <row r="12" spans="1:23" x14ac:dyDescent="0.2">
      <c r="A12" s="1">
        <v>46090</v>
      </c>
      <c r="B12" t="s">
        <v>6</v>
      </c>
      <c r="C12">
        <v>8.6</v>
      </c>
      <c r="D12">
        <v>7.6</v>
      </c>
      <c r="E12">
        <v>8.1</v>
      </c>
      <c r="F12">
        <v>11.2</v>
      </c>
      <c r="G12">
        <v>28.2</v>
      </c>
      <c r="H12">
        <v>2</v>
      </c>
      <c r="I12">
        <v>1.4</v>
      </c>
    </row>
    <row r="13" spans="1:23" x14ac:dyDescent="0.2">
      <c r="A13" s="1">
        <v>46090</v>
      </c>
      <c r="B13" t="s">
        <v>28</v>
      </c>
      <c r="C13">
        <v>7.6</v>
      </c>
      <c r="D13">
        <v>19.5</v>
      </c>
      <c r="E13">
        <v>2.6</v>
      </c>
      <c r="F13">
        <v>3.2</v>
      </c>
      <c r="G13">
        <v>1.1000000000000001</v>
      </c>
      <c r="H13">
        <v>3</v>
      </c>
      <c r="I13">
        <v>26.4</v>
      </c>
      <c r="U13">
        <v>5.6</v>
      </c>
      <c r="V13">
        <v>2.9</v>
      </c>
      <c r="W13">
        <v>2.2999999999999998</v>
      </c>
    </row>
    <row r="14" spans="1:23" x14ac:dyDescent="0.2">
      <c r="A14" s="1">
        <v>46090</v>
      </c>
      <c r="B14" t="s">
        <v>35</v>
      </c>
      <c r="C14">
        <v>36.1</v>
      </c>
    </row>
    <row r="15" spans="1:23" x14ac:dyDescent="0.2">
      <c r="A15" s="1">
        <v>46090</v>
      </c>
      <c r="B15" t="s">
        <v>21</v>
      </c>
      <c r="C15">
        <v>24.1</v>
      </c>
      <c r="D15">
        <v>9.6</v>
      </c>
      <c r="E15">
        <v>20</v>
      </c>
      <c r="F15">
        <v>27.1</v>
      </c>
    </row>
    <row r="16" spans="1:23" x14ac:dyDescent="0.2">
      <c r="A16" s="1">
        <v>46090</v>
      </c>
      <c r="B16" t="s">
        <v>24</v>
      </c>
      <c r="C16">
        <v>19</v>
      </c>
      <c r="D16">
        <v>15.4</v>
      </c>
      <c r="E16">
        <v>1.2</v>
      </c>
    </row>
    <row r="17" spans="1:20" x14ac:dyDescent="0.2">
      <c r="A17" s="1">
        <v>46090</v>
      </c>
      <c r="B17" t="s">
        <v>26</v>
      </c>
      <c r="C17">
        <v>9</v>
      </c>
      <c r="D17">
        <v>1.6</v>
      </c>
      <c r="E17">
        <f>45+13.8</f>
        <v>58.8</v>
      </c>
    </row>
    <row r="18" spans="1:20" x14ac:dyDescent="0.2">
      <c r="A18" s="1">
        <v>46090</v>
      </c>
      <c r="B18" t="s">
        <v>30</v>
      </c>
      <c r="C18">
        <v>35.6</v>
      </c>
      <c r="D18">
        <v>12.2</v>
      </c>
      <c r="E18">
        <v>2.6</v>
      </c>
      <c r="F18">
        <v>4.8</v>
      </c>
      <c r="G18">
        <v>5.6</v>
      </c>
      <c r="H18">
        <v>7.6</v>
      </c>
    </row>
    <row r="19" spans="1:20" x14ac:dyDescent="0.2">
      <c r="A19" s="1">
        <v>46090</v>
      </c>
      <c r="B19" t="s">
        <v>16</v>
      </c>
      <c r="C19">
        <v>45</v>
      </c>
      <c r="D19">
        <v>39.299999999999997</v>
      </c>
      <c r="E19">
        <v>15.1</v>
      </c>
      <c r="F19">
        <v>4</v>
      </c>
      <c r="G19">
        <v>3</v>
      </c>
    </row>
    <row r="20" spans="1:20" x14ac:dyDescent="0.2">
      <c r="A20" s="1">
        <v>46090</v>
      </c>
      <c r="B20" t="s">
        <v>33</v>
      </c>
      <c r="C20">
        <v>33.200000000000003</v>
      </c>
      <c r="D20">
        <v>12.2</v>
      </c>
      <c r="E20">
        <v>12.4</v>
      </c>
      <c r="F20">
        <v>4.7</v>
      </c>
      <c r="G20">
        <v>8.3000000000000007</v>
      </c>
      <c r="H20">
        <v>8.3000000000000007</v>
      </c>
    </row>
    <row r="21" spans="1:20" x14ac:dyDescent="0.2">
      <c r="A21" s="1">
        <v>46090</v>
      </c>
      <c r="B21" t="s">
        <v>18</v>
      </c>
      <c r="C21">
        <v>10.1</v>
      </c>
      <c r="D21">
        <v>36.1</v>
      </c>
      <c r="E21">
        <v>4.5999999999999996</v>
      </c>
      <c r="F21">
        <v>45.4</v>
      </c>
      <c r="G21">
        <v>36.700000000000003</v>
      </c>
    </row>
    <row r="22" spans="1:20" x14ac:dyDescent="0.2">
      <c r="A22" s="1">
        <v>46090</v>
      </c>
      <c r="B22" t="s">
        <v>29</v>
      </c>
      <c r="C22">
        <v>8.1999999999999993</v>
      </c>
      <c r="D22">
        <v>11.2</v>
      </c>
      <c r="E22">
        <v>12.6</v>
      </c>
      <c r="F22">
        <v>15.5</v>
      </c>
      <c r="G22">
        <v>20.2</v>
      </c>
    </row>
    <row r="23" spans="1:20" x14ac:dyDescent="0.2">
      <c r="A23" s="1">
        <v>46090</v>
      </c>
      <c r="B23" t="s">
        <v>5</v>
      </c>
      <c r="C23">
        <v>8.1</v>
      </c>
      <c r="D23">
        <v>3.1</v>
      </c>
      <c r="E23">
        <v>2.9</v>
      </c>
    </row>
    <row r="24" spans="1:20" x14ac:dyDescent="0.2">
      <c r="A24" s="1">
        <v>46090</v>
      </c>
      <c r="B24" t="s">
        <v>22</v>
      </c>
      <c r="C24">
        <v>24.1</v>
      </c>
      <c r="T24" t="s">
        <v>75</v>
      </c>
    </row>
    <row r="25" spans="1:20" x14ac:dyDescent="0.2">
      <c r="A25" s="1">
        <v>46090</v>
      </c>
      <c r="B25" t="s">
        <v>11</v>
      </c>
      <c r="C25">
        <v>9.6</v>
      </c>
      <c r="D25">
        <v>13</v>
      </c>
      <c r="E25">
        <v>8</v>
      </c>
      <c r="F25">
        <v>4.4000000000000004</v>
      </c>
      <c r="G25">
        <v>21.3</v>
      </c>
      <c r="H25">
        <v>5</v>
      </c>
      <c r="I25">
        <v>1.5</v>
      </c>
      <c r="J25">
        <v>1</v>
      </c>
      <c r="K25">
        <v>22.4</v>
      </c>
      <c r="L25">
        <v>6.6</v>
      </c>
      <c r="M25">
        <v>0.6</v>
      </c>
      <c r="N25">
        <v>0.4</v>
      </c>
      <c r="O25">
        <v>23.4</v>
      </c>
    </row>
    <row r="26" spans="1:20" x14ac:dyDescent="0.2">
      <c r="A26" s="1">
        <v>46090</v>
      </c>
      <c r="B26" t="s">
        <v>25</v>
      </c>
      <c r="C26">
        <v>22.3</v>
      </c>
    </row>
    <row r="27" spans="1:20" x14ac:dyDescent="0.2">
      <c r="A27" s="1">
        <v>46090</v>
      </c>
      <c r="B27" t="s">
        <v>31</v>
      </c>
      <c r="C27">
        <v>37.6</v>
      </c>
      <c r="D27">
        <v>10.6</v>
      </c>
      <c r="E27">
        <v>10.9</v>
      </c>
    </row>
    <row r="28" spans="1:20" x14ac:dyDescent="0.2">
      <c r="A28" s="1">
        <v>46090</v>
      </c>
      <c r="B28" t="s">
        <v>19</v>
      </c>
      <c r="C28">
        <v>9.1999999999999993</v>
      </c>
      <c r="D28">
        <v>12.9</v>
      </c>
      <c r="E28">
        <v>9.1</v>
      </c>
      <c r="F28">
        <v>3.1</v>
      </c>
      <c r="G28">
        <v>8.3000000000000007</v>
      </c>
      <c r="H28">
        <v>6.3</v>
      </c>
      <c r="I28">
        <v>4.5</v>
      </c>
      <c r="J28">
        <v>4.5999999999999996</v>
      </c>
      <c r="K28">
        <v>5.4</v>
      </c>
      <c r="L28">
        <v>2.4</v>
      </c>
      <c r="M28">
        <v>3.4</v>
      </c>
    </row>
    <row r="29" spans="1:20" x14ac:dyDescent="0.2">
      <c r="A29" s="1">
        <v>46090</v>
      </c>
      <c r="B29" t="s">
        <v>17</v>
      </c>
      <c r="C29">
        <v>32.6</v>
      </c>
      <c r="D29">
        <v>32.700000000000003</v>
      </c>
      <c r="E29">
        <v>26.1</v>
      </c>
      <c r="F29">
        <v>28.7</v>
      </c>
      <c r="G29">
        <v>36</v>
      </c>
      <c r="H29">
        <v>33.5</v>
      </c>
      <c r="I29">
        <v>1.1000000000000001</v>
      </c>
      <c r="J29">
        <v>2.4</v>
      </c>
    </row>
    <row r="30" spans="1:20" x14ac:dyDescent="0.2">
      <c r="A30" s="1">
        <v>46090</v>
      </c>
      <c r="B30" t="s">
        <v>32</v>
      </c>
      <c r="C30">
        <v>37</v>
      </c>
      <c r="D30">
        <v>24.8</v>
      </c>
      <c r="E30">
        <v>21.6</v>
      </c>
      <c r="F30">
        <v>23.2</v>
      </c>
      <c r="G30">
        <v>23.6</v>
      </c>
      <c r="H30">
        <v>6.2</v>
      </c>
      <c r="I30">
        <v>3.5</v>
      </c>
      <c r="J30">
        <v>13.5</v>
      </c>
      <c r="K30">
        <v>1</v>
      </c>
      <c r="L30">
        <v>20.2</v>
      </c>
      <c r="M30">
        <v>7</v>
      </c>
      <c r="N30">
        <v>9.1999999999999993</v>
      </c>
    </row>
    <row r="31" spans="1:20" x14ac:dyDescent="0.2">
      <c r="A31" s="1">
        <v>46090</v>
      </c>
      <c r="B31" t="s">
        <v>34</v>
      </c>
      <c r="C31">
        <v>49.6</v>
      </c>
      <c r="D31">
        <v>12.3</v>
      </c>
      <c r="E31">
        <v>2.6</v>
      </c>
      <c r="F31">
        <v>19.399999999999999</v>
      </c>
      <c r="G31">
        <v>24.9</v>
      </c>
      <c r="H31">
        <v>25.7</v>
      </c>
      <c r="I31">
        <v>37</v>
      </c>
    </row>
    <row r="32" spans="1:20" x14ac:dyDescent="0.2">
      <c r="A32" s="1">
        <v>46090</v>
      </c>
      <c r="B32" t="s">
        <v>10</v>
      </c>
      <c r="C32">
        <v>25.9</v>
      </c>
      <c r="D32">
        <v>22.8</v>
      </c>
      <c r="E32">
        <v>1</v>
      </c>
      <c r="F32">
        <v>0.6</v>
      </c>
      <c r="G32">
        <v>1.6</v>
      </c>
      <c r="H32">
        <v>0.7</v>
      </c>
      <c r="I32">
        <v>3</v>
      </c>
      <c r="J32">
        <v>6</v>
      </c>
      <c r="K32">
        <v>14.6</v>
      </c>
      <c r="L32">
        <v>5.0999999999999996</v>
      </c>
      <c r="M32">
        <v>7.2</v>
      </c>
      <c r="N32">
        <v>6.2</v>
      </c>
      <c r="O32">
        <v>5.8</v>
      </c>
      <c r="P32">
        <v>5.9</v>
      </c>
      <c r="Q32">
        <v>3.8</v>
      </c>
    </row>
    <row r="33" spans="1:19" x14ac:dyDescent="0.2">
      <c r="A33" s="1">
        <v>46090</v>
      </c>
      <c r="B33" t="s">
        <v>0</v>
      </c>
      <c r="C33">
        <v>44.2</v>
      </c>
      <c r="D33">
        <v>47</v>
      </c>
      <c r="E33">
        <v>45.4</v>
      </c>
      <c r="F33">
        <v>9.4</v>
      </c>
      <c r="G33">
        <v>3.2</v>
      </c>
      <c r="H33">
        <v>5.4</v>
      </c>
      <c r="I33">
        <v>7</v>
      </c>
      <c r="J33">
        <v>6.6</v>
      </c>
      <c r="K33">
        <v>8</v>
      </c>
      <c r="L33">
        <v>2.4</v>
      </c>
      <c r="M33">
        <v>45.6</v>
      </c>
    </row>
    <row r="34" spans="1:19" x14ac:dyDescent="0.2">
      <c r="A34" s="1">
        <v>46090</v>
      </c>
      <c r="B34" t="s">
        <v>13</v>
      </c>
      <c r="C34">
        <v>37.5</v>
      </c>
      <c r="D34">
        <v>6</v>
      </c>
      <c r="E34">
        <v>11.4</v>
      </c>
      <c r="F34">
        <v>11.2</v>
      </c>
      <c r="G34">
        <v>17.2</v>
      </c>
      <c r="H34">
        <v>12.2</v>
      </c>
      <c r="I34">
        <v>22.9</v>
      </c>
      <c r="J34">
        <v>20.5</v>
      </c>
      <c r="K34">
        <v>2</v>
      </c>
      <c r="L34">
        <v>15.5</v>
      </c>
      <c r="M34">
        <v>23.9</v>
      </c>
      <c r="N34">
        <v>18.399999999999999</v>
      </c>
      <c r="O34">
        <v>5.5</v>
      </c>
    </row>
    <row r="35" spans="1:19" x14ac:dyDescent="0.2">
      <c r="A35" s="1">
        <v>46090</v>
      </c>
      <c r="B35" t="s">
        <v>7</v>
      </c>
      <c r="C35">
        <v>7.6</v>
      </c>
      <c r="D35">
        <v>4.7</v>
      </c>
      <c r="E35">
        <v>5</v>
      </c>
      <c r="F35">
        <v>24.8</v>
      </c>
      <c r="G35">
        <v>2</v>
      </c>
      <c r="H35">
        <v>6.2</v>
      </c>
      <c r="I35">
        <v>1.8</v>
      </c>
      <c r="J35">
        <v>1</v>
      </c>
      <c r="K35">
        <v>34.4</v>
      </c>
      <c r="L35">
        <v>13.2</v>
      </c>
      <c r="M35">
        <v>1.5</v>
      </c>
      <c r="N35">
        <v>6.5</v>
      </c>
    </row>
    <row r="36" spans="1:19" x14ac:dyDescent="0.2">
      <c r="A36" s="1">
        <v>46090</v>
      </c>
      <c r="B36" t="s">
        <v>12</v>
      </c>
      <c r="C36">
        <v>43.7</v>
      </c>
      <c r="D36">
        <v>5.9</v>
      </c>
      <c r="E36">
        <v>26.6</v>
      </c>
      <c r="F36">
        <v>16.8</v>
      </c>
      <c r="G36">
        <v>1.3</v>
      </c>
      <c r="H36">
        <v>4.5999999999999996</v>
      </c>
      <c r="I36">
        <v>44.6</v>
      </c>
      <c r="J36">
        <v>26.7</v>
      </c>
      <c r="K36">
        <v>29.9</v>
      </c>
      <c r="L36">
        <v>36.9</v>
      </c>
      <c r="M36">
        <v>26.7</v>
      </c>
      <c r="N36">
        <v>26.9</v>
      </c>
      <c r="O36">
        <v>27.1</v>
      </c>
      <c r="P36">
        <v>3.3</v>
      </c>
      <c r="Q36">
        <v>2.9</v>
      </c>
      <c r="R36">
        <v>2.4</v>
      </c>
    </row>
    <row r="37" spans="1:19" x14ac:dyDescent="0.2">
      <c r="A37" s="1">
        <v>46090</v>
      </c>
      <c r="B37" t="s">
        <v>36</v>
      </c>
      <c r="C37">
        <v>45.7</v>
      </c>
      <c r="D37">
        <v>39.799999999999997</v>
      </c>
      <c r="E37">
        <v>5.6</v>
      </c>
      <c r="F37">
        <v>7</v>
      </c>
      <c r="G37">
        <v>2.6</v>
      </c>
      <c r="H37">
        <v>5.0999999999999996</v>
      </c>
      <c r="I37">
        <v>39.799999999999997</v>
      </c>
      <c r="J37">
        <v>22.6</v>
      </c>
      <c r="K37">
        <v>9.1</v>
      </c>
      <c r="L37">
        <v>42.3</v>
      </c>
    </row>
    <row r="38" spans="1:19" x14ac:dyDescent="0.2">
      <c r="A38" s="1">
        <v>46090</v>
      </c>
      <c r="B38" t="s">
        <v>8</v>
      </c>
      <c r="C38">
        <v>9</v>
      </c>
      <c r="D38">
        <v>29.1</v>
      </c>
      <c r="E38">
        <v>18.3</v>
      </c>
      <c r="F38">
        <v>11.9</v>
      </c>
      <c r="G38">
        <v>10.5</v>
      </c>
      <c r="H38">
        <v>23.2</v>
      </c>
      <c r="I38">
        <v>12.6</v>
      </c>
      <c r="J38">
        <v>7.5</v>
      </c>
      <c r="K38">
        <v>6.2</v>
      </c>
      <c r="L38">
        <v>4.4000000000000004</v>
      </c>
      <c r="M38">
        <v>7</v>
      </c>
      <c r="N38">
        <v>5.9</v>
      </c>
      <c r="O38">
        <v>2</v>
      </c>
    </row>
    <row r="39" spans="1:19" x14ac:dyDescent="0.2">
      <c r="A39" s="1">
        <v>46090</v>
      </c>
      <c r="B39" t="s">
        <v>20</v>
      </c>
      <c r="C39">
        <v>31.8</v>
      </c>
      <c r="D39">
        <v>17.8</v>
      </c>
      <c r="E39">
        <v>3</v>
      </c>
      <c r="F39">
        <v>3.5</v>
      </c>
      <c r="G39">
        <v>3.4</v>
      </c>
      <c r="H39">
        <v>1</v>
      </c>
      <c r="I39">
        <v>2.1</v>
      </c>
      <c r="J39">
        <v>2</v>
      </c>
      <c r="K39">
        <v>2.2000000000000002</v>
      </c>
      <c r="L39">
        <v>3.4</v>
      </c>
      <c r="M39">
        <v>11.6</v>
      </c>
      <c r="N39">
        <v>9.6</v>
      </c>
      <c r="O39">
        <v>5</v>
      </c>
      <c r="P39">
        <v>23.5</v>
      </c>
      <c r="Q39">
        <v>4</v>
      </c>
      <c r="R39">
        <v>9.1999999999999993</v>
      </c>
      <c r="S39">
        <v>1.6</v>
      </c>
    </row>
    <row r="40" spans="1:19" x14ac:dyDescent="0.2">
      <c r="A40" s="1">
        <v>46090</v>
      </c>
      <c r="B40" t="s">
        <v>27</v>
      </c>
      <c r="C40">
        <v>42</v>
      </c>
      <c r="D40">
        <v>4.3</v>
      </c>
      <c r="E40">
        <v>11.9</v>
      </c>
      <c r="F40">
        <v>11.2</v>
      </c>
      <c r="G40">
        <v>4.7</v>
      </c>
      <c r="H40">
        <v>4.5999999999999996</v>
      </c>
      <c r="I40">
        <v>5.5</v>
      </c>
      <c r="J40">
        <v>42</v>
      </c>
      <c r="K40">
        <v>10.5</v>
      </c>
      <c r="L40">
        <v>12.2</v>
      </c>
    </row>
    <row r="41" spans="1:19" x14ac:dyDescent="0.2">
      <c r="B41" t="s">
        <v>37</v>
      </c>
      <c r="C41">
        <v>77.2</v>
      </c>
      <c r="D41">
        <v>38</v>
      </c>
      <c r="E41">
        <v>5.6</v>
      </c>
      <c r="F41">
        <v>35.4</v>
      </c>
      <c r="G41">
        <v>16.2</v>
      </c>
      <c r="H41">
        <v>53.6</v>
      </c>
      <c r="I41">
        <v>52.5</v>
      </c>
    </row>
    <row r="42" spans="1:19" x14ac:dyDescent="0.2">
      <c r="B42" t="s">
        <v>15</v>
      </c>
      <c r="C42">
        <v>9</v>
      </c>
      <c r="D42">
        <v>4.5999999999999996</v>
      </c>
      <c r="E42">
        <v>12.4</v>
      </c>
      <c r="F42">
        <v>1.5</v>
      </c>
      <c r="G42">
        <v>3.6</v>
      </c>
      <c r="H42">
        <v>15</v>
      </c>
      <c r="I42">
        <v>13.7</v>
      </c>
      <c r="J42">
        <v>4.4000000000000004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C2FB9-9962-DE4D-94E8-8542EC40DA6E}">
  <dimension ref="A1:C9"/>
  <sheetViews>
    <sheetView zoomScale="130" zoomScaleNormal="130" workbookViewId="0">
      <selection activeCell="C10" sqref="C10"/>
    </sheetView>
  </sheetViews>
  <sheetFormatPr baseColWidth="10" defaultRowHeight="16" x14ac:dyDescent="0.2"/>
  <sheetData>
    <row r="1" spans="1:3" x14ac:dyDescent="0.2">
      <c r="A1" t="s">
        <v>76</v>
      </c>
      <c r="B1" t="s">
        <v>77</v>
      </c>
      <c r="C1" t="s">
        <v>78</v>
      </c>
    </row>
    <row r="2" spans="1:3" x14ac:dyDescent="0.2">
      <c r="A2" s="1">
        <v>46090</v>
      </c>
      <c r="B2">
        <f>COUNTA('D3 3 9 26'!B2:B1048576)</f>
        <v>41</v>
      </c>
      <c r="C2">
        <f>COUNTA('D3 3 9 26'!C:C)</f>
        <v>42</v>
      </c>
    </row>
    <row r="7" spans="1:3" x14ac:dyDescent="0.2">
      <c r="A7" t="s">
        <v>79</v>
      </c>
    </row>
    <row r="8" spans="1:3" x14ac:dyDescent="0.2">
      <c r="A8" t="s">
        <v>80</v>
      </c>
      <c r="B8" t="s">
        <v>81</v>
      </c>
      <c r="C8">
        <v>0</v>
      </c>
    </row>
    <row r="9" spans="1:3" x14ac:dyDescent="0.2">
      <c r="A9" t="s">
        <v>82</v>
      </c>
      <c r="B9" t="s">
        <v>83</v>
      </c>
      <c r="C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20C2A-106B-0F4C-ADF0-DF0528C1EF06}">
  <dimension ref="A1:S40"/>
  <sheetViews>
    <sheetView zoomScale="140" zoomScaleNormal="140" workbookViewId="0">
      <selection activeCell="B2" sqref="B2"/>
    </sheetView>
  </sheetViews>
  <sheetFormatPr baseColWidth="10" defaultRowHeight="16" x14ac:dyDescent="0.2"/>
  <cols>
    <col min="5" max="17" width="6" style="2" customWidth="1"/>
  </cols>
  <sheetData>
    <row r="1" spans="1:19" x14ac:dyDescent="0.2">
      <c r="A1" t="s">
        <v>38</v>
      </c>
      <c r="B1" t="s">
        <v>89</v>
      </c>
      <c r="C1" t="s">
        <v>86</v>
      </c>
      <c r="D1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S1" s="2" t="s">
        <v>60</v>
      </c>
    </row>
    <row r="2" spans="1:19" x14ac:dyDescent="0.2">
      <c r="A2" s="1">
        <v>46097</v>
      </c>
      <c r="B2" t="s">
        <v>12</v>
      </c>
      <c r="C2">
        <v>0</v>
      </c>
      <c r="D2">
        <f>45+7.2</f>
        <v>52.2</v>
      </c>
      <c r="E2" s="2">
        <v>50.5</v>
      </c>
      <c r="F2" s="2">
        <v>29.5</v>
      </c>
      <c r="G2" s="2">
        <v>41.4</v>
      </c>
      <c r="H2" s="2">
        <v>36.5</v>
      </c>
      <c r="I2" s="2">
        <v>34.799999999999997</v>
      </c>
      <c r="J2" s="2">
        <f>45+13.5</f>
        <v>58.5</v>
      </c>
      <c r="K2" s="2">
        <v>36.799999999999997</v>
      </c>
      <c r="L2" s="2">
        <v>28</v>
      </c>
      <c r="M2" s="2">
        <v>21.3</v>
      </c>
      <c r="N2" s="2">
        <v>3.2</v>
      </c>
      <c r="O2" s="2">
        <v>3</v>
      </c>
      <c r="P2" s="2">
        <v>2.9</v>
      </c>
      <c r="Q2" s="2">
        <v>2</v>
      </c>
    </row>
    <row r="3" spans="1:19" x14ac:dyDescent="0.2">
      <c r="A3" s="1">
        <v>46097</v>
      </c>
      <c r="B3" t="s">
        <v>36</v>
      </c>
      <c r="C3">
        <v>1</v>
      </c>
      <c r="D3">
        <f>45+8.2</f>
        <v>53.2</v>
      </c>
      <c r="E3" s="2">
        <v>2.2000000000000002</v>
      </c>
      <c r="F3" s="2">
        <v>25.5</v>
      </c>
      <c r="G3" s="2">
        <v>51.3</v>
      </c>
      <c r="H3" s="2">
        <v>30.7</v>
      </c>
      <c r="I3" s="2">
        <v>8.6999999999999993</v>
      </c>
      <c r="J3" s="2">
        <v>2.9</v>
      </c>
      <c r="K3" s="2">
        <v>16.8</v>
      </c>
      <c r="L3" s="2">
        <v>3.7</v>
      </c>
      <c r="M3" s="2">
        <v>18.399999999999999</v>
      </c>
      <c r="N3" s="2">
        <v>45.2</v>
      </c>
      <c r="O3" s="2">
        <v>46.1</v>
      </c>
    </row>
    <row r="4" spans="1:19" x14ac:dyDescent="0.2">
      <c r="A4" s="1">
        <v>46097</v>
      </c>
      <c r="B4" t="s">
        <v>10</v>
      </c>
      <c r="C4">
        <v>0</v>
      </c>
      <c r="D4">
        <v>41.8</v>
      </c>
      <c r="E4" s="2">
        <v>2.4</v>
      </c>
      <c r="F4" s="2">
        <v>1.7</v>
      </c>
      <c r="G4" s="2">
        <v>42.8</v>
      </c>
      <c r="H4" s="2">
        <v>2.4</v>
      </c>
      <c r="I4" s="2">
        <v>6.7</v>
      </c>
      <c r="J4" s="2">
        <v>5.7</v>
      </c>
      <c r="K4" s="2">
        <v>2.9</v>
      </c>
      <c r="L4" s="2">
        <v>8.1</v>
      </c>
      <c r="M4" s="2">
        <v>4.5</v>
      </c>
      <c r="N4" s="2">
        <v>5.8</v>
      </c>
      <c r="O4" s="2">
        <v>28</v>
      </c>
      <c r="P4" s="2">
        <v>27.8</v>
      </c>
    </row>
    <row r="5" spans="1:19" x14ac:dyDescent="0.2">
      <c r="A5" s="1">
        <v>46097</v>
      </c>
      <c r="B5" t="s">
        <v>0</v>
      </c>
      <c r="C5">
        <v>0</v>
      </c>
      <c r="D5">
        <f>45+7.9</f>
        <v>52.9</v>
      </c>
      <c r="E5" s="2">
        <v>2.2999999999999998</v>
      </c>
      <c r="F5" s="2">
        <v>4.7</v>
      </c>
      <c r="G5" s="2">
        <v>7.5</v>
      </c>
      <c r="H5" s="2">
        <v>7.6</v>
      </c>
      <c r="I5" s="2">
        <v>8.5</v>
      </c>
      <c r="J5" s="2">
        <v>3.5</v>
      </c>
      <c r="K5" s="2">
        <v>7.3</v>
      </c>
      <c r="L5" s="2">
        <v>50.5</v>
      </c>
      <c r="M5" s="2">
        <v>48</v>
      </c>
      <c r="N5" s="2">
        <v>49.2</v>
      </c>
    </row>
    <row r="6" spans="1:19" x14ac:dyDescent="0.2">
      <c r="A6" s="1">
        <v>46097</v>
      </c>
      <c r="B6" t="s">
        <v>3</v>
      </c>
      <c r="C6">
        <v>0</v>
      </c>
      <c r="D6">
        <f>45+27.1</f>
        <v>72.099999999999994</v>
      </c>
      <c r="E6" s="2">
        <v>25.4</v>
      </c>
    </row>
    <row r="7" spans="1:19" x14ac:dyDescent="0.2">
      <c r="A7" s="1">
        <v>46097</v>
      </c>
      <c r="B7" t="s">
        <v>6</v>
      </c>
      <c r="C7">
        <v>0</v>
      </c>
      <c r="D7">
        <v>9</v>
      </c>
      <c r="E7" s="2">
        <v>20.5</v>
      </c>
      <c r="F7" s="2">
        <v>7.7</v>
      </c>
      <c r="G7" s="2">
        <v>8</v>
      </c>
      <c r="H7" s="2">
        <v>18.7</v>
      </c>
      <c r="I7" s="2">
        <v>41.5</v>
      </c>
      <c r="J7" s="2">
        <v>3.6</v>
      </c>
      <c r="K7" s="2">
        <v>2.1</v>
      </c>
      <c r="L7" s="2">
        <v>2.4</v>
      </c>
      <c r="S7" t="s">
        <v>84</v>
      </c>
    </row>
    <row r="8" spans="1:19" x14ac:dyDescent="0.2">
      <c r="A8" s="1">
        <v>46097</v>
      </c>
      <c r="B8" t="s">
        <v>23</v>
      </c>
      <c r="C8">
        <v>1</v>
      </c>
      <c r="D8">
        <v>29.2</v>
      </c>
    </row>
    <row r="9" spans="1:19" x14ac:dyDescent="0.2">
      <c r="A9" s="1">
        <v>46097</v>
      </c>
      <c r="B9" t="s">
        <v>4</v>
      </c>
      <c r="C9">
        <v>0</v>
      </c>
      <c r="D9">
        <v>7.9</v>
      </c>
      <c r="E9" s="2">
        <v>3.4</v>
      </c>
      <c r="F9" s="2">
        <v>2.7</v>
      </c>
      <c r="G9" s="2">
        <v>4.3</v>
      </c>
      <c r="S9" t="s">
        <v>85</v>
      </c>
    </row>
    <row r="10" spans="1:19" x14ac:dyDescent="0.2">
      <c r="A10" s="1">
        <v>46097</v>
      </c>
      <c r="B10" t="s">
        <v>14</v>
      </c>
      <c r="C10">
        <v>0</v>
      </c>
      <c r="D10">
        <f>45+16.5</f>
        <v>61.5</v>
      </c>
      <c r="E10" s="2">
        <v>22.1</v>
      </c>
    </row>
    <row r="11" spans="1:19" x14ac:dyDescent="0.2">
      <c r="A11" s="1">
        <v>46097</v>
      </c>
      <c r="B11" t="s">
        <v>28</v>
      </c>
      <c r="C11">
        <v>0</v>
      </c>
      <c r="D11">
        <v>6.9</v>
      </c>
      <c r="E11" s="2">
        <v>18.100000000000001</v>
      </c>
      <c r="F11" s="2">
        <v>42.2</v>
      </c>
      <c r="G11" s="2">
        <v>3.2</v>
      </c>
      <c r="H11" s="2">
        <v>3.1</v>
      </c>
      <c r="I11" s="2">
        <v>1.6</v>
      </c>
      <c r="J11" s="2">
        <v>22.2</v>
      </c>
      <c r="S11" t="s">
        <v>84</v>
      </c>
    </row>
    <row r="12" spans="1:19" x14ac:dyDescent="0.2">
      <c r="A12" s="1">
        <v>46097</v>
      </c>
      <c r="B12" t="s">
        <v>21</v>
      </c>
      <c r="C12">
        <v>1</v>
      </c>
      <c r="D12">
        <v>34.200000000000003</v>
      </c>
      <c r="E12" s="2">
        <v>13.1</v>
      </c>
      <c r="F12" s="2">
        <v>30.5</v>
      </c>
    </row>
    <row r="13" spans="1:19" x14ac:dyDescent="0.2">
      <c r="A13" s="1">
        <v>46097</v>
      </c>
      <c r="B13" t="s">
        <v>2</v>
      </c>
      <c r="C13">
        <v>0</v>
      </c>
      <c r="D13">
        <v>55.3</v>
      </c>
      <c r="E13" s="2">
        <v>5.0999999999999996</v>
      </c>
      <c r="F13" s="2">
        <f>45+8.9</f>
        <v>53.9</v>
      </c>
      <c r="G13" s="2">
        <v>60</v>
      </c>
    </row>
    <row r="14" spans="1:19" x14ac:dyDescent="0.2">
      <c r="A14" s="1">
        <v>46097</v>
      </c>
      <c r="B14" t="s">
        <v>35</v>
      </c>
      <c r="C14">
        <v>1</v>
      </c>
      <c r="D14">
        <v>45.5</v>
      </c>
    </row>
    <row r="15" spans="1:19" x14ac:dyDescent="0.2">
      <c r="A15" s="1">
        <v>46097</v>
      </c>
      <c r="B15" t="s">
        <v>1</v>
      </c>
      <c r="C15">
        <v>0.5</v>
      </c>
      <c r="D15">
        <v>50.3</v>
      </c>
      <c r="E15" s="2">
        <v>9.9</v>
      </c>
    </row>
    <row r="16" spans="1:19" x14ac:dyDescent="0.2">
      <c r="A16" s="1">
        <v>46097</v>
      </c>
      <c r="B16" t="s">
        <v>9</v>
      </c>
      <c r="C16">
        <v>0</v>
      </c>
      <c r="D16">
        <v>8.9</v>
      </c>
      <c r="E16" s="2">
        <v>27.2</v>
      </c>
      <c r="F16" s="2">
        <v>25.3</v>
      </c>
      <c r="G16" s="2">
        <v>29.9</v>
      </c>
      <c r="H16" s="2">
        <v>29.7</v>
      </c>
      <c r="I16" s="2">
        <v>5.3</v>
      </c>
      <c r="J16" s="2">
        <v>4.0999999999999996</v>
      </c>
      <c r="K16" s="2">
        <v>2.4</v>
      </c>
      <c r="L16" s="2">
        <v>8.4</v>
      </c>
      <c r="M16" s="2">
        <v>8.3000000000000007</v>
      </c>
      <c r="S16" t="s">
        <v>84</v>
      </c>
    </row>
    <row r="17" spans="1:19" x14ac:dyDescent="0.2">
      <c r="A17" s="1">
        <v>46097</v>
      </c>
      <c r="B17" t="s">
        <v>26</v>
      </c>
      <c r="C17">
        <v>0</v>
      </c>
      <c r="D17">
        <v>9</v>
      </c>
      <c r="E17" s="2">
        <v>20.6</v>
      </c>
      <c r="F17" s="2">
        <f>45+28.1</f>
        <v>73.099999999999994</v>
      </c>
      <c r="G17" s="2">
        <v>1.7</v>
      </c>
      <c r="H17" s="2">
        <v>4.3</v>
      </c>
    </row>
    <row r="18" spans="1:19" x14ac:dyDescent="0.2">
      <c r="A18" s="1">
        <v>46097</v>
      </c>
      <c r="B18" t="s">
        <v>33</v>
      </c>
      <c r="C18">
        <v>1</v>
      </c>
      <c r="D18">
        <v>35.200000000000003</v>
      </c>
      <c r="E18" s="2">
        <v>25.5</v>
      </c>
      <c r="F18" s="2">
        <v>26</v>
      </c>
      <c r="G18" s="2">
        <v>15.2</v>
      </c>
      <c r="H18" s="2">
        <v>22.4</v>
      </c>
      <c r="I18" s="2">
        <v>17.2</v>
      </c>
      <c r="J18" s="2">
        <v>15.2</v>
      </c>
    </row>
    <row r="19" spans="1:19" x14ac:dyDescent="0.2">
      <c r="A19" s="1">
        <v>46097</v>
      </c>
      <c r="B19" t="s">
        <v>24</v>
      </c>
      <c r="C19">
        <v>0</v>
      </c>
      <c r="D19">
        <v>24.5</v>
      </c>
      <c r="E19" s="2">
        <v>25.4</v>
      </c>
      <c r="F19" s="2">
        <v>1.5</v>
      </c>
    </row>
    <row r="20" spans="1:19" x14ac:dyDescent="0.2">
      <c r="A20" s="1">
        <v>46097</v>
      </c>
      <c r="B20" t="s">
        <v>18</v>
      </c>
      <c r="C20">
        <v>0</v>
      </c>
      <c r="D20">
        <v>10.9</v>
      </c>
      <c r="E20" s="2">
        <v>41.4</v>
      </c>
      <c r="F20" s="2">
        <f>45+9.1</f>
        <v>54.1</v>
      </c>
      <c r="G20" s="2">
        <v>33.1</v>
      </c>
    </row>
    <row r="21" spans="1:19" x14ac:dyDescent="0.2">
      <c r="A21" s="1">
        <v>46097</v>
      </c>
      <c r="B21" t="s">
        <v>16</v>
      </c>
      <c r="C21">
        <v>0</v>
      </c>
      <c r="D21">
        <v>54</v>
      </c>
      <c r="E21" s="2">
        <v>3.5</v>
      </c>
      <c r="F21" s="2">
        <v>52</v>
      </c>
      <c r="G21" s="2">
        <v>23.8</v>
      </c>
    </row>
    <row r="22" spans="1:19" x14ac:dyDescent="0.2">
      <c r="A22" s="1">
        <v>46097</v>
      </c>
      <c r="B22" t="s">
        <v>29</v>
      </c>
      <c r="C22">
        <v>0</v>
      </c>
      <c r="D22">
        <v>7.5</v>
      </c>
      <c r="E22" s="2">
        <v>20.100000000000001</v>
      </c>
      <c r="F22" s="2">
        <v>31.6</v>
      </c>
      <c r="G22" s="2">
        <v>19.2</v>
      </c>
      <c r="H22" s="2">
        <v>11.7</v>
      </c>
      <c r="S22" t="s">
        <v>84</v>
      </c>
    </row>
    <row r="23" spans="1:19" x14ac:dyDescent="0.2">
      <c r="A23" s="1">
        <v>46097</v>
      </c>
      <c r="B23" t="s">
        <v>30</v>
      </c>
      <c r="C23">
        <v>0</v>
      </c>
      <c r="D23">
        <f>45+12.6</f>
        <v>57.6</v>
      </c>
      <c r="E23" s="2">
        <v>6.5</v>
      </c>
      <c r="F23" s="2">
        <v>5.4</v>
      </c>
      <c r="G23" s="2">
        <v>18.8</v>
      </c>
    </row>
    <row r="24" spans="1:19" x14ac:dyDescent="0.2">
      <c r="A24" s="1">
        <v>46097</v>
      </c>
      <c r="B24" t="s">
        <v>5</v>
      </c>
      <c r="C24">
        <v>0</v>
      </c>
      <c r="D24">
        <v>8.5</v>
      </c>
      <c r="E24" s="2">
        <v>18.7</v>
      </c>
      <c r="F24" s="2">
        <v>3.5</v>
      </c>
      <c r="G24" s="2">
        <v>4.9000000000000004</v>
      </c>
      <c r="S24" t="s">
        <v>84</v>
      </c>
    </row>
    <row r="25" spans="1:19" x14ac:dyDescent="0.2">
      <c r="A25" s="1">
        <v>46097</v>
      </c>
      <c r="B25" t="s">
        <v>39</v>
      </c>
      <c r="C25">
        <v>0</v>
      </c>
      <c r="D25">
        <f>45+17.2</f>
        <v>62.2</v>
      </c>
      <c r="E25" s="2">
        <f>45+15.3</f>
        <v>60.3</v>
      </c>
      <c r="F25" s="2">
        <f>45+15.6</f>
        <v>60.6</v>
      </c>
      <c r="G25" s="2">
        <v>29.9</v>
      </c>
      <c r="H25" s="2">
        <v>8.8000000000000007</v>
      </c>
    </row>
    <row r="26" spans="1:19" x14ac:dyDescent="0.2">
      <c r="A26" s="1">
        <v>46097</v>
      </c>
      <c r="B26" t="s">
        <v>17</v>
      </c>
      <c r="C26">
        <v>0.5</v>
      </c>
      <c r="D26">
        <v>36.299999999999997</v>
      </c>
      <c r="E26" s="2">
        <v>33</v>
      </c>
      <c r="F26" s="2">
        <v>36.299999999999997</v>
      </c>
      <c r="G26" s="2">
        <v>44.5</v>
      </c>
      <c r="H26" s="2">
        <f>45+8.4</f>
        <v>53.4</v>
      </c>
      <c r="I26" s="2">
        <v>39</v>
      </c>
      <c r="J26" s="2">
        <v>1.1000000000000001</v>
      </c>
    </row>
    <row r="27" spans="1:19" x14ac:dyDescent="0.2">
      <c r="A27" s="1">
        <v>46097</v>
      </c>
      <c r="B27" t="s">
        <v>31</v>
      </c>
      <c r="C27">
        <v>1</v>
      </c>
      <c r="D27">
        <v>45.6</v>
      </c>
      <c r="E27" s="2">
        <v>20.6</v>
      </c>
      <c r="F27" s="2">
        <v>10.9</v>
      </c>
    </row>
    <row r="28" spans="1:19" x14ac:dyDescent="0.2">
      <c r="A28" s="1">
        <v>46097</v>
      </c>
      <c r="B28" t="s">
        <v>25</v>
      </c>
      <c r="C28">
        <v>1</v>
      </c>
      <c r="D28">
        <v>25.6</v>
      </c>
    </row>
    <row r="29" spans="1:19" x14ac:dyDescent="0.2">
      <c r="A29" s="1">
        <v>46097</v>
      </c>
      <c r="B29" t="s">
        <v>7</v>
      </c>
      <c r="C29">
        <v>0</v>
      </c>
      <c r="D29">
        <v>8.1</v>
      </c>
      <c r="E29" s="2">
        <v>11.8</v>
      </c>
      <c r="F29" s="2">
        <v>4.5</v>
      </c>
      <c r="G29" s="2">
        <v>25.4</v>
      </c>
      <c r="H29" s="2">
        <v>4.2</v>
      </c>
      <c r="I29" s="2">
        <v>41.8</v>
      </c>
      <c r="J29" s="2">
        <v>15.1</v>
      </c>
      <c r="K29" s="2">
        <v>1.4</v>
      </c>
      <c r="L29" s="2">
        <v>5.8</v>
      </c>
      <c r="M29" s="2">
        <v>1.9</v>
      </c>
      <c r="S29" t="s">
        <v>87</v>
      </c>
    </row>
    <row r="30" spans="1:19" x14ac:dyDescent="0.2">
      <c r="A30" s="1">
        <v>46097</v>
      </c>
      <c r="B30" t="s">
        <v>34</v>
      </c>
      <c r="C30">
        <v>0</v>
      </c>
      <c r="D30">
        <f>45+15.1</f>
        <v>60.1</v>
      </c>
      <c r="E30" s="2">
        <v>27.7</v>
      </c>
      <c r="F30" s="2">
        <v>12.5</v>
      </c>
      <c r="G30" s="2">
        <v>2.5</v>
      </c>
      <c r="H30" s="2">
        <v>19.100000000000001</v>
      </c>
      <c r="I30" s="2">
        <v>26.2</v>
      </c>
      <c r="J30" s="2">
        <v>46.3</v>
      </c>
    </row>
    <row r="31" spans="1:19" x14ac:dyDescent="0.2">
      <c r="A31" s="1">
        <v>46097</v>
      </c>
      <c r="B31" t="s">
        <v>22</v>
      </c>
      <c r="C31">
        <v>0.5</v>
      </c>
      <c r="D31">
        <v>24.1</v>
      </c>
      <c r="E31" s="2">
        <v>10.9</v>
      </c>
      <c r="F31" s="2">
        <v>10</v>
      </c>
      <c r="G31" s="2">
        <v>9.4</v>
      </c>
    </row>
    <row r="32" spans="1:19" x14ac:dyDescent="0.2">
      <c r="A32" s="1">
        <v>46097</v>
      </c>
      <c r="B32" t="s">
        <v>19</v>
      </c>
      <c r="C32">
        <v>0</v>
      </c>
      <c r="D32">
        <v>10</v>
      </c>
      <c r="E32" s="2">
        <v>19.899999999999999</v>
      </c>
      <c r="F32" s="2">
        <v>21</v>
      </c>
      <c r="G32" s="2">
        <v>13.5</v>
      </c>
      <c r="H32" s="2">
        <v>7.4</v>
      </c>
      <c r="I32" s="2">
        <v>7.3</v>
      </c>
      <c r="J32" s="2">
        <v>7.5</v>
      </c>
      <c r="K32" s="2">
        <v>3.8</v>
      </c>
      <c r="L32" s="2">
        <v>7.8</v>
      </c>
      <c r="M32" s="2">
        <v>7.3</v>
      </c>
      <c r="S32" t="s">
        <v>84</v>
      </c>
    </row>
    <row r="33" spans="1:19" x14ac:dyDescent="0.2">
      <c r="A33" s="1">
        <v>46097</v>
      </c>
      <c r="B33" t="s">
        <v>8</v>
      </c>
      <c r="C33">
        <v>0</v>
      </c>
      <c r="D33">
        <v>9.6</v>
      </c>
      <c r="E33" s="2">
        <v>14.1</v>
      </c>
      <c r="F33" s="2">
        <v>38.9</v>
      </c>
      <c r="G33" s="2">
        <v>25.7</v>
      </c>
      <c r="H33" s="2">
        <v>13.4</v>
      </c>
      <c r="I33" s="2">
        <v>27.2</v>
      </c>
      <c r="J33" s="2">
        <v>11.9</v>
      </c>
      <c r="K33" s="2">
        <v>11.5</v>
      </c>
      <c r="S33" t="s">
        <v>84</v>
      </c>
    </row>
    <row r="34" spans="1:19" x14ac:dyDescent="0.2">
      <c r="A34" s="1">
        <v>46097</v>
      </c>
      <c r="B34" t="s">
        <v>27</v>
      </c>
      <c r="C34">
        <v>0</v>
      </c>
      <c r="D34">
        <v>50.1</v>
      </c>
      <c r="E34" s="2">
        <v>18.100000000000001</v>
      </c>
      <c r="F34" s="2">
        <v>19.899999999999999</v>
      </c>
      <c r="G34" s="2">
        <v>10.199999999999999</v>
      </c>
      <c r="H34" s="2">
        <v>7.6</v>
      </c>
      <c r="I34" s="2">
        <v>15.4</v>
      </c>
      <c r="J34" s="2">
        <v>12.2</v>
      </c>
      <c r="K34" s="2">
        <f>45+9.4</f>
        <v>54.4</v>
      </c>
    </row>
    <row r="35" spans="1:19" x14ac:dyDescent="0.2">
      <c r="A35" s="1">
        <v>46097</v>
      </c>
      <c r="B35" t="s">
        <v>37</v>
      </c>
      <c r="C35">
        <v>0</v>
      </c>
      <c r="D35">
        <f>45+35.8</f>
        <v>80.8</v>
      </c>
      <c r="E35" s="2">
        <v>9.8000000000000007</v>
      </c>
      <c r="F35" s="2">
        <v>44.8</v>
      </c>
      <c r="G35" s="2">
        <v>8.1999999999999993</v>
      </c>
      <c r="H35" s="2">
        <v>6.1</v>
      </c>
      <c r="I35" s="2">
        <f>45+20.4</f>
        <v>65.400000000000006</v>
      </c>
      <c r="J35" s="2">
        <f>45+16.8</f>
        <v>61.8</v>
      </c>
      <c r="K35" s="2">
        <v>45.8</v>
      </c>
      <c r="L35" s="2">
        <v>15.8</v>
      </c>
    </row>
    <row r="36" spans="1:19" x14ac:dyDescent="0.2">
      <c r="A36" s="1">
        <v>46097</v>
      </c>
      <c r="B36" t="s">
        <v>32</v>
      </c>
      <c r="C36">
        <v>0</v>
      </c>
      <c r="D36">
        <f>45+10.2</f>
        <v>55.2</v>
      </c>
      <c r="E36" s="2">
        <v>38</v>
      </c>
      <c r="F36" s="2">
        <v>37.299999999999997</v>
      </c>
      <c r="G36" s="2">
        <v>36</v>
      </c>
      <c r="H36" s="2">
        <v>18.7</v>
      </c>
      <c r="I36" s="2">
        <v>33.9</v>
      </c>
      <c r="J36" s="2">
        <v>32.799999999999997</v>
      </c>
      <c r="K36" s="2">
        <v>6.7</v>
      </c>
      <c r="L36" s="2">
        <v>7.7</v>
      </c>
    </row>
    <row r="37" spans="1:19" x14ac:dyDescent="0.2">
      <c r="A37" s="1">
        <v>46097</v>
      </c>
      <c r="B37" t="s">
        <v>20</v>
      </c>
      <c r="C37">
        <v>0</v>
      </c>
      <c r="D37">
        <v>40.799999999999997</v>
      </c>
      <c r="E37" s="2">
        <v>28.3</v>
      </c>
      <c r="F37" s="2">
        <v>22.5</v>
      </c>
      <c r="G37" s="2">
        <v>3.2</v>
      </c>
      <c r="H37" s="2">
        <v>9.3000000000000007</v>
      </c>
      <c r="I37" s="2">
        <v>36.799999999999997</v>
      </c>
      <c r="J37" s="2">
        <v>9.3000000000000007</v>
      </c>
      <c r="K37" s="2">
        <v>28.3</v>
      </c>
    </row>
    <row r="38" spans="1:19" x14ac:dyDescent="0.2">
      <c r="A38" s="1">
        <v>46097</v>
      </c>
      <c r="B38" t="s">
        <v>15</v>
      </c>
      <c r="C38">
        <v>0</v>
      </c>
      <c r="D38">
        <v>8.6</v>
      </c>
      <c r="E38" s="2">
        <v>15.2</v>
      </c>
      <c r="F38" s="2">
        <v>10.199999999999999</v>
      </c>
      <c r="G38" s="2">
        <v>23.3</v>
      </c>
      <c r="H38" s="2">
        <v>1.4</v>
      </c>
      <c r="I38" s="2">
        <v>4.3</v>
      </c>
      <c r="J38" s="2">
        <v>25.8</v>
      </c>
      <c r="K38" s="2">
        <v>23</v>
      </c>
      <c r="L38" s="2">
        <v>3.9</v>
      </c>
      <c r="S38" t="s">
        <v>84</v>
      </c>
    </row>
    <row r="39" spans="1:19" x14ac:dyDescent="0.2">
      <c r="A39" s="1">
        <v>46097</v>
      </c>
      <c r="B39" t="s">
        <v>13</v>
      </c>
      <c r="C39">
        <v>0</v>
      </c>
      <c r="D39">
        <f>45+8.4</f>
        <v>53.4</v>
      </c>
      <c r="E39" s="2">
        <v>29</v>
      </c>
      <c r="F39" s="2">
        <v>21.1</v>
      </c>
      <c r="G39" s="2">
        <v>35.5</v>
      </c>
      <c r="H39" s="2">
        <v>27.9</v>
      </c>
      <c r="I39" s="2">
        <v>5.3</v>
      </c>
      <c r="J39" s="2">
        <v>38.200000000000003</v>
      </c>
      <c r="K39" s="2">
        <f>45+3.5</f>
        <v>48.5</v>
      </c>
      <c r="L39" s="2">
        <v>31</v>
      </c>
      <c r="M39" s="2">
        <v>20.6</v>
      </c>
      <c r="N39" s="2">
        <v>17.8</v>
      </c>
    </row>
    <row r="40" spans="1:19" x14ac:dyDescent="0.2">
      <c r="A40" s="1">
        <v>46097</v>
      </c>
      <c r="B40" t="s">
        <v>11</v>
      </c>
      <c r="C40">
        <v>1</v>
      </c>
      <c r="D40">
        <v>8.5</v>
      </c>
      <c r="E40" s="2">
        <v>24.2</v>
      </c>
      <c r="F40" s="2">
        <v>30</v>
      </c>
      <c r="G40" s="2">
        <v>4.5</v>
      </c>
      <c r="H40" s="2">
        <v>29.4</v>
      </c>
      <c r="I40" s="2">
        <v>27</v>
      </c>
      <c r="J40" s="2">
        <v>9.5</v>
      </c>
      <c r="K40" s="2">
        <v>1.6</v>
      </c>
      <c r="L40" s="2">
        <v>17.100000000000001</v>
      </c>
      <c r="S40" t="s">
        <v>84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64989-61A4-F94C-A05A-9E3D17A531B3}">
  <dimension ref="A1:O40"/>
  <sheetViews>
    <sheetView zoomScale="140" zoomScaleNormal="140" workbookViewId="0">
      <selection activeCell="B2" sqref="B2"/>
    </sheetView>
  </sheetViews>
  <sheetFormatPr baseColWidth="10" defaultRowHeight="16" x14ac:dyDescent="0.2"/>
  <cols>
    <col min="3" max="3" width="10.1640625" bestFit="1" customWidth="1"/>
    <col min="4" max="4" width="11.1640625" bestFit="1" customWidth="1"/>
    <col min="5" max="5" width="5.33203125" style="2" bestFit="1" customWidth="1"/>
    <col min="6" max="13" width="4" style="2" bestFit="1" customWidth="1"/>
    <col min="14" max="14" width="5" style="2" bestFit="1" customWidth="1"/>
  </cols>
  <sheetData>
    <row r="1" spans="1:15" x14ac:dyDescent="0.2">
      <c r="A1" t="s">
        <v>38</v>
      </c>
      <c r="B1" t="s">
        <v>89</v>
      </c>
      <c r="C1" t="s">
        <v>88</v>
      </c>
      <c r="D1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60</v>
      </c>
    </row>
    <row r="2" spans="1:15" x14ac:dyDescent="0.2">
      <c r="A2" s="1">
        <v>46104</v>
      </c>
      <c r="B2" t="s">
        <v>26</v>
      </c>
      <c r="C2">
        <v>0</v>
      </c>
      <c r="D2">
        <v>9.1999999999999993</v>
      </c>
      <c r="E2" s="2">
        <v>34.5</v>
      </c>
      <c r="F2">
        <v>81.3</v>
      </c>
      <c r="G2" s="2">
        <v>16</v>
      </c>
      <c r="O2" t="s">
        <v>84</v>
      </c>
    </row>
    <row r="3" spans="1:15" x14ac:dyDescent="0.2">
      <c r="A3" s="1">
        <v>46104</v>
      </c>
      <c r="B3" t="s">
        <v>23</v>
      </c>
      <c r="C3">
        <v>1</v>
      </c>
      <c r="D3">
        <v>29.6</v>
      </c>
    </row>
    <row r="4" spans="1:15" x14ac:dyDescent="0.2">
      <c r="A4" s="1">
        <v>46104</v>
      </c>
      <c r="B4" t="s">
        <v>14</v>
      </c>
      <c r="C4">
        <v>0</v>
      </c>
      <c r="D4">
        <v>74.099999999999994</v>
      </c>
      <c r="E4" s="2">
        <v>37</v>
      </c>
    </row>
    <row r="5" spans="1:15" x14ac:dyDescent="0.2">
      <c r="A5" s="1">
        <v>46104</v>
      </c>
      <c r="B5" t="s">
        <v>4</v>
      </c>
      <c r="C5">
        <v>0</v>
      </c>
      <c r="D5">
        <v>8.1</v>
      </c>
      <c r="E5" s="2">
        <v>3.3</v>
      </c>
      <c r="F5" s="2">
        <v>3.1</v>
      </c>
      <c r="G5" s="2">
        <v>6.1</v>
      </c>
      <c r="H5" s="2">
        <v>0.9</v>
      </c>
    </row>
    <row r="6" spans="1:15" x14ac:dyDescent="0.2">
      <c r="A6" s="1">
        <v>46104</v>
      </c>
      <c r="B6" t="s">
        <v>2</v>
      </c>
      <c r="C6">
        <v>0</v>
      </c>
      <c r="D6">
        <v>73.7</v>
      </c>
      <c r="E6" s="2">
        <v>84.3</v>
      </c>
      <c r="F6" s="2">
        <v>79.599999999999994</v>
      </c>
      <c r="G6" s="2">
        <v>4.7</v>
      </c>
    </row>
    <row r="7" spans="1:15" x14ac:dyDescent="0.2">
      <c r="A7" s="1">
        <v>46104</v>
      </c>
      <c r="B7" t="s">
        <v>28</v>
      </c>
      <c r="C7">
        <v>0</v>
      </c>
      <c r="D7">
        <v>7.3</v>
      </c>
      <c r="E7" s="2">
        <v>24.3</v>
      </c>
      <c r="F7" s="2">
        <v>56.5</v>
      </c>
      <c r="G7" s="2">
        <v>6.4</v>
      </c>
      <c r="H7" s="2">
        <v>23.5</v>
      </c>
      <c r="I7" s="2">
        <v>2.8</v>
      </c>
      <c r="J7" s="2">
        <v>1.4</v>
      </c>
      <c r="K7" s="2">
        <v>1.5</v>
      </c>
      <c r="O7" t="s">
        <v>84</v>
      </c>
    </row>
    <row r="8" spans="1:15" x14ac:dyDescent="0.2">
      <c r="A8" s="1">
        <v>46104</v>
      </c>
      <c r="B8" t="s">
        <v>21</v>
      </c>
      <c r="C8">
        <v>1</v>
      </c>
      <c r="D8">
        <v>30.6</v>
      </c>
      <c r="E8" s="2">
        <v>33.299999999999997</v>
      </c>
      <c r="F8" s="2">
        <v>29.4</v>
      </c>
      <c r="G8" s="2">
        <v>15.5</v>
      </c>
    </row>
    <row r="9" spans="1:15" x14ac:dyDescent="0.2">
      <c r="A9" s="1">
        <v>46104</v>
      </c>
      <c r="B9" t="s">
        <v>9</v>
      </c>
      <c r="C9">
        <v>0</v>
      </c>
      <c r="D9">
        <v>8.6999999999999993</v>
      </c>
      <c r="E9" s="2">
        <v>25.4</v>
      </c>
      <c r="F9" s="2">
        <v>27.3</v>
      </c>
      <c r="G9" s="2">
        <v>30.8</v>
      </c>
      <c r="H9" s="2">
        <v>30.5</v>
      </c>
      <c r="I9" s="2">
        <v>12.5</v>
      </c>
      <c r="J9" s="2">
        <v>8.1</v>
      </c>
      <c r="K9" s="2">
        <v>9.1999999999999993</v>
      </c>
      <c r="L9" s="2">
        <v>9.8000000000000007</v>
      </c>
      <c r="M9" s="2">
        <v>11.5</v>
      </c>
    </row>
    <row r="10" spans="1:15" x14ac:dyDescent="0.2">
      <c r="A10" s="1">
        <v>46104</v>
      </c>
      <c r="B10" t="s">
        <v>35</v>
      </c>
      <c r="C10">
        <v>1</v>
      </c>
      <c r="D10">
        <v>51.5</v>
      </c>
    </row>
    <row r="11" spans="1:15" x14ac:dyDescent="0.2">
      <c r="A11" s="1">
        <v>46104</v>
      </c>
      <c r="B11" t="s">
        <v>1</v>
      </c>
      <c r="C11">
        <v>1</v>
      </c>
      <c r="D11">
        <v>58.9</v>
      </c>
      <c r="E11" s="2">
        <v>19.3</v>
      </c>
    </row>
    <row r="12" spans="1:15" x14ac:dyDescent="0.2">
      <c r="A12" s="1">
        <v>46104</v>
      </c>
      <c r="B12" t="s">
        <v>24</v>
      </c>
      <c r="C12">
        <v>1</v>
      </c>
      <c r="D12">
        <v>26.8</v>
      </c>
      <c r="E12" s="2">
        <v>30.7</v>
      </c>
    </row>
    <row r="13" spans="1:15" x14ac:dyDescent="0.2">
      <c r="A13" s="1">
        <v>46104</v>
      </c>
      <c r="B13" t="s">
        <v>33</v>
      </c>
      <c r="C13">
        <v>1</v>
      </c>
      <c r="D13">
        <v>36.1</v>
      </c>
      <c r="E13" s="2">
        <v>35</v>
      </c>
      <c r="F13" s="2">
        <v>36.5</v>
      </c>
      <c r="G13" s="2">
        <v>29</v>
      </c>
      <c r="H13" s="2">
        <v>19.100000000000001</v>
      </c>
      <c r="I13" s="2">
        <v>29</v>
      </c>
      <c r="J13" s="2">
        <v>21.6</v>
      </c>
    </row>
    <row r="14" spans="1:15" x14ac:dyDescent="0.2">
      <c r="A14" s="1">
        <v>46104</v>
      </c>
      <c r="B14" t="s">
        <v>18</v>
      </c>
      <c r="C14">
        <v>0</v>
      </c>
      <c r="D14">
        <v>12</v>
      </c>
      <c r="E14" s="2">
        <v>47.7</v>
      </c>
      <c r="F14" s="2">
        <v>60.6</v>
      </c>
      <c r="G14" s="2">
        <v>33.6</v>
      </c>
    </row>
    <row r="15" spans="1:15" x14ac:dyDescent="0.2">
      <c r="A15" s="1">
        <v>46104</v>
      </c>
      <c r="B15" t="s">
        <v>29</v>
      </c>
      <c r="C15">
        <v>0</v>
      </c>
      <c r="D15">
        <v>8.8000000000000007</v>
      </c>
      <c r="E15" s="2">
        <v>32.799999999999997</v>
      </c>
      <c r="F15" s="2">
        <v>44.2</v>
      </c>
      <c r="G15" s="2">
        <v>27.2</v>
      </c>
      <c r="H15" s="2">
        <v>12.8</v>
      </c>
    </row>
    <row r="16" spans="1:15" x14ac:dyDescent="0.2">
      <c r="A16" s="1">
        <v>46104</v>
      </c>
      <c r="B16" t="s">
        <v>16</v>
      </c>
      <c r="C16">
        <v>0</v>
      </c>
      <c r="D16">
        <v>61.4</v>
      </c>
      <c r="E16" s="2">
        <v>35.6</v>
      </c>
      <c r="F16" s="2">
        <v>62.2</v>
      </c>
    </row>
    <row r="17" spans="1:15" x14ac:dyDescent="0.2">
      <c r="A17" s="1">
        <v>46104</v>
      </c>
      <c r="B17" t="s">
        <v>39</v>
      </c>
      <c r="C17">
        <v>0</v>
      </c>
      <c r="D17">
        <v>77.3</v>
      </c>
      <c r="E17" s="2">
        <v>80.3</v>
      </c>
      <c r="F17" s="2">
        <v>31.6</v>
      </c>
      <c r="G17" s="2">
        <v>80</v>
      </c>
    </row>
    <row r="18" spans="1:15" x14ac:dyDescent="0.2">
      <c r="A18" s="1">
        <v>46104</v>
      </c>
      <c r="B18" t="s">
        <v>30</v>
      </c>
      <c r="C18">
        <v>1</v>
      </c>
      <c r="D18">
        <v>74</v>
      </c>
      <c r="E18" s="2">
        <v>31</v>
      </c>
      <c r="F18" s="2">
        <v>8.5</v>
      </c>
      <c r="G18" s="2">
        <v>11.5</v>
      </c>
    </row>
    <row r="19" spans="1:15" x14ac:dyDescent="0.2">
      <c r="A19" s="1">
        <v>46104</v>
      </c>
      <c r="B19" t="s">
        <v>5</v>
      </c>
      <c r="C19">
        <v>1</v>
      </c>
      <c r="D19">
        <v>8.5</v>
      </c>
      <c r="E19" s="2">
        <v>30.1</v>
      </c>
      <c r="F19" s="2">
        <v>6.1</v>
      </c>
      <c r="O19" t="s">
        <v>84</v>
      </c>
    </row>
    <row r="20" spans="1:15" x14ac:dyDescent="0.2">
      <c r="A20" s="1">
        <v>46104</v>
      </c>
      <c r="B20" t="s">
        <v>25</v>
      </c>
      <c r="C20">
        <v>1</v>
      </c>
      <c r="D20">
        <v>26</v>
      </c>
    </row>
    <row r="21" spans="1:15" x14ac:dyDescent="0.2">
      <c r="A21" s="1">
        <v>46104</v>
      </c>
      <c r="B21" t="s">
        <v>17</v>
      </c>
      <c r="C21">
        <v>1</v>
      </c>
      <c r="D21">
        <v>40.200000000000003</v>
      </c>
      <c r="E21" s="2">
        <v>32.5</v>
      </c>
      <c r="F21" s="2">
        <v>44.8</v>
      </c>
      <c r="G21" s="2">
        <v>51.3</v>
      </c>
      <c r="H21" s="2">
        <v>64.599999999999994</v>
      </c>
      <c r="I21" s="2">
        <v>47.3</v>
      </c>
    </row>
    <row r="22" spans="1:15" x14ac:dyDescent="0.2">
      <c r="A22" s="1">
        <v>46104</v>
      </c>
      <c r="B22" t="s">
        <v>31</v>
      </c>
      <c r="C22">
        <v>1</v>
      </c>
      <c r="D22" s="14">
        <v>49.4</v>
      </c>
      <c r="E22" s="2">
        <v>11.5</v>
      </c>
    </row>
    <row r="23" spans="1:15" x14ac:dyDescent="0.2">
      <c r="A23" s="1">
        <v>46104</v>
      </c>
      <c r="B23" t="s">
        <v>7</v>
      </c>
      <c r="C23">
        <v>0</v>
      </c>
      <c r="D23">
        <v>7.9</v>
      </c>
      <c r="E23" s="2">
        <v>12</v>
      </c>
      <c r="F23" s="2">
        <v>6.3</v>
      </c>
      <c r="G23" s="2">
        <v>46.2</v>
      </c>
      <c r="H23" s="2">
        <v>16.100000000000001</v>
      </c>
      <c r="I23" s="2">
        <v>13.6</v>
      </c>
      <c r="J23" s="2">
        <v>4.8</v>
      </c>
      <c r="K23" s="2">
        <v>25.1</v>
      </c>
      <c r="O23" t="s">
        <v>84</v>
      </c>
    </row>
    <row r="24" spans="1:15" x14ac:dyDescent="0.2">
      <c r="A24" s="1">
        <v>46104</v>
      </c>
      <c r="B24" t="s">
        <v>22</v>
      </c>
      <c r="C24">
        <v>0</v>
      </c>
      <c r="D24">
        <v>25.6</v>
      </c>
      <c r="E24" s="2">
        <v>28</v>
      </c>
      <c r="F24" s="2">
        <v>18.600000000000001</v>
      </c>
      <c r="G24" s="2">
        <v>14.5</v>
      </c>
      <c r="H24" s="2">
        <v>18.3</v>
      </c>
      <c r="I24" s="2">
        <v>6.5</v>
      </c>
      <c r="J24" s="2">
        <v>9.1</v>
      </c>
      <c r="K24" s="2">
        <v>5.0999999999999996</v>
      </c>
    </row>
    <row r="25" spans="1:15" x14ac:dyDescent="0.2">
      <c r="A25" s="1">
        <v>46104</v>
      </c>
      <c r="B25" t="s">
        <v>27</v>
      </c>
      <c r="C25">
        <v>0</v>
      </c>
      <c r="D25">
        <v>50.6</v>
      </c>
      <c r="E25" s="2">
        <v>26.5</v>
      </c>
      <c r="F25" s="2">
        <v>27.3</v>
      </c>
      <c r="G25" s="2">
        <v>20.7</v>
      </c>
      <c r="H25" s="2">
        <v>62.8</v>
      </c>
      <c r="I25" s="2">
        <v>18.399999999999999</v>
      </c>
    </row>
    <row r="26" spans="1:15" x14ac:dyDescent="0.2">
      <c r="A26" s="1">
        <v>46104</v>
      </c>
      <c r="B26" t="s">
        <v>19</v>
      </c>
      <c r="C26">
        <v>1</v>
      </c>
      <c r="D26">
        <v>9.6</v>
      </c>
      <c r="E26" s="2">
        <v>29.1</v>
      </c>
      <c r="F26" s="2">
        <v>22.9</v>
      </c>
      <c r="G26" s="2">
        <v>20.8</v>
      </c>
      <c r="H26" s="2">
        <v>11.9</v>
      </c>
      <c r="I26" s="2">
        <v>7.5</v>
      </c>
      <c r="J26" s="2">
        <v>13.5</v>
      </c>
      <c r="K26" s="2">
        <v>12</v>
      </c>
      <c r="L26" s="2">
        <v>7.6</v>
      </c>
      <c r="M26" s="2">
        <v>9.9</v>
      </c>
      <c r="N26" s="2">
        <v>4.8</v>
      </c>
      <c r="O26" t="s">
        <v>84</v>
      </c>
    </row>
    <row r="27" spans="1:15" x14ac:dyDescent="0.2">
      <c r="A27" s="1">
        <v>46104</v>
      </c>
      <c r="B27" t="s">
        <v>37</v>
      </c>
      <c r="C27">
        <v>1</v>
      </c>
      <c r="D27">
        <v>89.6</v>
      </c>
      <c r="E27" s="2">
        <v>51.4</v>
      </c>
      <c r="F27" s="2">
        <v>54.9</v>
      </c>
      <c r="G27" s="2">
        <v>72.099999999999994</v>
      </c>
      <c r="H27" s="2">
        <v>68.7</v>
      </c>
      <c r="I27" s="2">
        <v>15.5</v>
      </c>
      <c r="J27" s="2">
        <v>8.6</v>
      </c>
    </row>
    <row r="28" spans="1:15" x14ac:dyDescent="0.2">
      <c r="A28" s="1">
        <v>46104</v>
      </c>
      <c r="B28" t="s">
        <v>34</v>
      </c>
      <c r="C28">
        <v>0</v>
      </c>
      <c r="D28">
        <v>73.7</v>
      </c>
      <c r="E28" s="2">
        <v>59.7</v>
      </c>
      <c r="F28" s="2">
        <v>32.200000000000003</v>
      </c>
      <c r="G28" s="2">
        <v>17.8</v>
      </c>
      <c r="H28" s="2">
        <v>26.2</v>
      </c>
      <c r="I28" s="2">
        <v>12.8</v>
      </c>
      <c r="J28" s="2">
        <v>2.7</v>
      </c>
    </row>
    <row r="29" spans="1:15" x14ac:dyDescent="0.2">
      <c r="A29" s="1">
        <v>46104</v>
      </c>
      <c r="B29" t="s">
        <v>8</v>
      </c>
      <c r="C29">
        <v>0</v>
      </c>
      <c r="D29">
        <v>9</v>
      </c>
      <c r="E29" s="2">
        <v>23.3</v>
      </c>
      <c r="F29" s="2">
        <v>43.8</v>
      </c>
      <c r="G29" s="2">
        <v>32</v>
      </c>
      <c r="H29" s="2">
        <v>11.4</v>
      </c>
      <c r="I29" s="2">
        <v>13.4</v>
      </c>
      <c r="J29" s="2">
        <v>29.1</v>
      </c>
      <c r="K29" s="2">
        <v>16.8</v>
      </c>
      <c r="O29" t="s">
        <v>84</v>
      </c>
    </row>
    <row r="30" spans="1:15" x14ac:dyDescent="0.2">
      <c r="A30" s="1">
        <v>46104</v>
      </c>
      <c r="B30" t="s">
        <v>20</v>
      </c>
      <c r="C30">
        <v>0</v>
      </c>
      <c r="D30">
        <v>51.2</v>
      </c>
      <c r="E30" s="2">
        <v>33.9</v>
      </c>
      <c r="F30" s="2">
        <v>45</v>
      </c>
      <c r="G30" s="2">
        <v>30.7</v>
      </c>
      <c r="H30" s="2">
        <v>9.1999999999999993</v>
      </c>
      <c r="I30" s="2">
        <v>9.4</v>
      </c>
    </row>
    <row r="31" spans="1:15" x14ac:dyDescent="0.2">
      <c r="A31" s="1">
        <v>46104</v>
      </c>
      <c r="B31" t="s">
        <v>11</v>
      </c>
      <c r="C31">
        <v>1</v>
      </c>
      <c r="D31">
        <v>8</v>
      </c>
      <c r="E31" s="2">
        <v>39.6</v>
      </c>
      <c r="F31" s="2">
        <v>41.7</v>
      </c>
      <c r="G31" s="2">
        <v>28.7</v>
      </c>
      <c r="H31" s="2">
        <v>17.7</v>
      </c>
      <c r="O31" t="s">
        <v>84</v>
      </c>
    </row>
    <row r="32" spans="1:15" x14ac:dyDescent="0.2">
      <c r="A32" s="1">
        <v>46104</v>
      </c>
      <c r="B32" t="s">
        <v>32</v>
      </c>
      <c r="C32">
        <v>0</v>
      </c>
      <c r="D32">
        <v>62.8</v>
      </c>
      <c r="E32" s="2">
        <v>45.1</v>
      </c>
      <c r="F32" s="2">
        <v>45.7</v>
      </c>
      <c r="G32" s="2">
        <v>54.4</v>
      </c>
      <c r="H32" s="2">
        <v>54.2</v>
      </c>
      <c r="I32" s="2">
        <v>24.1</v>
      </c>
      <c r="J32" s="2">
        <v>48.6</v>
      </c>
    </row>
    <row r="33" spans="1:15" x14ac:dyDescent="0.2">
      <c r="A33" s="1">
        <v>46104</v>
      </c>
      <c r="B33" t="s">
        <v>15</v>
      </c>
      <c r="C33">
        <v>0</v>
      </c>
      <c r="D33">
        <v>8</v>
      </c>
      <c r="E33" s="2">
        <v>23.9</v>
      </c>
      <c r="F33" s="2">
        <v>17.100000000000001</v>
      </c>
      <c r="G33" s="2">
        <v>40.799999999999997</v>
      </c>
      <c r="H33" s="2">
        <v>4.2</v>
      </c>
      <c r="I33" s="2">
        <v>5.5</v>
      </c>
      <c r="J33" s="2">
        <v>37.200000000000003</v>
      </c>
      <c r="K33" s="2">
        <v>25.6</v>
      </c>
      <c r="L33" s="2">
        <v>1.7</v>
      </c>
      <c r="O33" t="s">
        <v>84</v>
      </c>
    </row>
    <row r="34" spans="1:15" x14ac:dyDescent="0.2">
      <c r="A34" s="1">
        <v>46104</v>
      </c>
      <c r="B34" t="s">
        <v>13</v>
      </c>
      <c r="C34">
        <v>1</v>
      </c>
      <c r="D34">
        <v>66</v>
      </c>
      <c r="E34" s="2">
        <v>26.2</v>
      </c>
      <c r="F34" s="2">
        <v>31.6</v>
      </c>
      <c r="G34" s="2">
        <v>48.6</v>
      </c>
      <c r="H34" s="2">
        <v>62.4</v>
      </c>
      <c r="I34" s="2">
        <v>68.400000000000006</v>
      </c>
      <c r="J34" s="2">
        <v>31.1</v>
      </c>
      <c r="K34" s="2">
        <v>44.4</v>
      </c>
      <c r="L34" s="2">
        <v>31.9</v>
      </c>
      <c r="M34" s="2">
        <v>43.6</v>
      </c>
      <c r="N34" s="2">
        <v>65</v>
      </c>
    </row>
    <row r="35" spans="1:15" x14ac:dyDescent="0.2">
      <c r="A35" s="1">
        <v>46104</v>
      </c>
      <c r="B35" t="s">
        <v>10</v>
      </c>
      <c r="C35">
        <v>0</v>
      </c>
      <c r="D35">
        <v>58.5</v>
      </c>
      <c r="E35" s="2">
        <v>48.5</v>
      </c>
      <c r="F35" s="2">
        <v>8.3000000000000007</v>
      </c>
      <c r="G35" s="2">
        <v>8</v>
      </c>
      <c r="H35" s="2">
        <v>11.6</v>
      </c>
      <c r="I35" s="2">
        <v>65</v>
      </c>
      <c r="J35" s="2">
        <v>2.5</v>
      </c>
      <c r="K35" s="2">
        <v>6.5</v>
      </c>
    </row>
    <row r="36" spans="1:15" x14ac:dyDescent="0.2">
      <c r="A36" s="1">
        <v>46104</v>
      </c>
      <c r="B36" t="s">
        <v>12</v>
      </c>
      <c r="C36">
        <v>0</v>
      </c>
      <c r="D36">
        <v>60.2</v>
      </c>
      <c r="E36" s="2">
        <v>58.5</v>
      </c>
      <c r="F36" s="2">
        <v>33.6</v>
      </c>
      <c r="G36" s="2">
        <v>52.2</v>
      </c>
      <c r="H36" s="2">
        <v>39.4</v>
      </c>
      <c r="I36" s="2">
        <v>38.700000000000003</v>
      </c>
      <c r="J36" s="2">
        <v>46.7</v>
      </c>
      <c r="K36" s="2">
        <v>66</v>
      </c>
      <c r="L36" s="2">
        <v>26.3</v>
      </c>
      <c r="M36" s="2">
        <v>29</v>
      </c>
    </row>
    <row r="37" spans="1:15" x14ac:dyDescent="0.2">
      <c r="A37" s="1">
        <v>46104</v>
      </c>
      <c r="B37" t="s">
        <v>6</v>
      </c>
      <c r="C37">
        <v>1</v>
      </c>
      <c r="D37">
        <v>10.199999999999999</v>
      </c>
      <c r="E37" s="2">
        <v>31.1</v>
      </c>
      <c r="F37" s="2">
        <v>14</v>
      </c>
      <c r="G37" s="2">
        <v>50.8</v>
      </c>
      <c r="H37" s="2">
        <v>32.799999999999997</v>
      </c>
      <c r="I37" s="2">
        <v>2.4</v>
      </c>
      <c r="J37" s="2">
        <v>1.6</v>
      </c>
      <c r="K37" s="2">
        <v>7.7</v>
      </c>
      <c r="O37" t="s">
        <v>84</v>
      </c>
    </row>
    <row r="38" spans="1:15" x14ac:dyDescent="0.2">
      <c r="A38" s="1">
        <v>46104</v>
      </c>
      <c r="B38" t="s">
        <v>36</v>
      </c>
      <c r="C38">
        <v>1</v>
      </c>
      <c r="D38">
        <v>59</v>
      </c>
      <c r="E38" s="2">
        <v>30.4</v>
      </c>
      <c r="F38" s="2">
        <v>50.1</v>
      </c>
      <c r="G38" s="2">
        <v>48.8</v>
      </c>
      <c r="H38" s="2">
        <v>37.6</v>
      </c>
      <c r="I38" s="2">
        <v>58.1</v>
      </c>
      <c r="J38" s="2">
        <v>42.2</v>
      </c>
      <c r="K38" s="2">
        <v>12.9</v>
      </c>
    </row>
    <row r="39" spans="1:15" x14ac:dyDescent="0.2">
      <c r="A39" s="1">
        <v>46104</v>
      </c>
      <c r="B39" t="s">
        <v>0</v>
      </c>
      <c r="C39">
        <v>0</v>
      </c>
      <c r="D39">
        <v>52.4</v>
      </c>
      <c r="E39" s="2">
        <v>51.6</v>
      </c>
      <c r="F39" s="2">
        <v>47.4</v>
      </c>
      <c r="G39" s="2">
        <v>46.1</v>
      </c>
      <c r="H39" s="2">
        <v>22.1</v>
      </c>
      <c r="I39" s="2">
        <v>7.6</v>
      </c>
      <c r="J39" s="2">
        <v>13.5</v>
      </c>
      <c r="K39" s="2">
        <v>4.5</v>
      </c>
      <c r="L39" s="2">
        <v>10.6</v>
      </c>
    </row>
    <row r="40" spans="1:15" x14ac:dyDescent="0.2">
      <c r="A40" s="1">
        <v>46104</v>
      </c>
      <c r="B40" t="s">
        <v>3</v>
      </c>
      <c r="C40">
        <v>0</v>
      </c>
      <c r="D40">
        <v>79.099999999999994</v>
      </c>
      <c r="E40" s="2">
        <v>26.8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6E076-D55A-364B-966B-1A0A8B44E81C}">
  <dimension ref="A1:B40"/>
  <sheetViews>
    <sheetView zoomScale="130" zoomScaleNormal="130" workbookViewId="0">
      <selection activeCell="R28" sqref="R28"/>
    </sheetView>
  </sheetViews>
  <sheetFormatPr baseColWidth="10" defaultRowHeight="16" x14ac:dyDescent="0.2"/>
  <cols>
    <col min="1" max="1" width="7.6640625" bestFit="1" customWidth="1"/>
    <col min="2" max="2" width="9.33203125" bestFit="1" customWidth="1"/>
  </cols>
  <sheetData>
    <row r="1" spans="1:2" x14ac:dyDescent="0.2">
      <c r="A1" t="s">
        <v>89</v>
      </c>
      <c r="B1" t="s">
        <v>90</v>
      </c>
    </row>
    <row r="2" spans="1:2" x14ac:dyDescent="0.2">
      <c r="A2" t="s">
        <v>25</v>
      </c>
      <c r="B2" t="s">
        <v>91</v>
      </c>
    </row>
    <row r="3" spans="1:2" x14ac:dyDescent="0.2">
      <c r="A3" t="s">
        <v>34</v>
      </c>
      <c r="B3" t="s">
        <v>91</v>
      </c>
    </row>
    <row r="4" spans="1:2" x14ac:dyDescent="0.2">
      <c r="A4" t="s">
        <v>39</v>
      </c>
      <c r="B4" t="s">
        <v>91</v>
      </c>
    </row>
    <row r="5" spans="1:2" x14ac:dyDescent="0.2">
      <c r="A5" t="s">
        <v>20</v>
      </c>
      <c r="B5" t="s">
        <v>91</v>
      </c>
    </row>
    <row r="6" spans="1:2" x14ac:dyDescent="0.2">
      <c r="A6" t="s">
        <v>24</v>
      </c>
      <c r="B6" t="s">
        <v>91</v>
      </c>
    </row>
    <row r="7" spans="1:2" x14ac:dyDescent="0.2">
      <c r="A7" t="s">
        <v>21</v>
      </c>
      <c r="B7" t="s">
        <v>91</v>
      </c>
    </row>
    <row r="8" spans="1:2" x14ac:dyDescent="0.2">
      <c r="A8" t="s">
        <v>17</v>
      </c>
      <c r="B8" t="s">
        <v>91</v>
      </c>
    </row>
    <row r="9" spans="1:2" x14ac:dyDescent="0.2">
      <c r="A9" t="s">
        <v>16</v>
      </c>
      <c r="B9" t="s">
        <v>91</v>
      </c>
    </row>
    <row r="10" spans="1:2" x14ac:dyDescent="0.2">
      <c r="A10" t="s">
        <v>13</v>
      </c>
      <c r="B10" t="s">
        <v>91</v>
      </c>
    </row>
    <row r="11" spans="1:2" x14ac:dyDescent="0.2">
      <c r="A11" t="s">
        <v>23</v>
      </c>
      <c r="B11" t="s">
        <v>91</v>
      </c>
    </row>
    <row r="12" spans="1:2" x14ac:dyDescent="0.2">
      <c r="A12" t="s">
        <v>22</v>
      </c>
      <c r="B12" t="s">
        <v>91</v>
      </c>
    </row>
    <row r="13" spans="1:2" x14ac:dyDescent="0.2">
      <c r="A13" t="s">
        <v>12</v>
      </c>
      <c r="B13" t="s">
        <v>91</v>
      </c>
    </row>
    <row r="14" spans="1:2" x14ac:dyDescent="0.2">
      <c r="A14" t="s">
        <v>14</v>
      </c>
      <c r="B14" t="s">
        <v>91</v>
      </c>
    </row>
    <row r="15" spans="1:2" x14ac:dyDescent="0.2">
      <c r="A15" t="s">
        <v>0</v>
      </c>
      <c r="B15" t="s">
        <v>92</v>
      </c>
    </row>
    <row r="16" spans="1:2" x14ac:dyDescent="0.2">
      <c r="A16" t="s">
        <v>32</v>
      </c>
      <c r="B16" t="s">
        <v>92</v>
      </c>
    </row>
    <row r="17" spans="1:2" x14ac:dyDescent="0.2">
      <c r="A17" t="s">
        <v>35</v>
      </c>
      <c r="B17" t="s">
        <v>92</v>
      </c>
    </row>
    <row r="18" spans="1:2" x14ac:dyDescent="0.2">
      <c r="A18" t="s">
        <v>10</v>
      </c>
      <c r="B18" t="s">
        <v>92</v>
      </c>
    </row>
    <row r="19" spans="1:2" x14ac:dyDescent="0.2">
      <c r="A19" t="s">
        <v>31</v>
      </c>
      <c r="B19" t="s">
        <v>92</v>
      </c>
    </row>
    <row r="20" spans="1:2" x14ac:dyDescent="0.2">
      <c r="A20" t="s">
        <v>30</v>
      </c>
      <c r="B20" t="s">
        <v>92</v>
      </c>
    </row>
    <row r="21" spans="1:2" x14ac:dyDescent="0.2">
      <c r="A21" t="s">
        <v>27</v>
      </c>
      <c r="B21" t="s">
        <v>92</v>
      </c>
    </row>
    <row r="22" spans="1:2" x14ac:dyDescent="0.2">
      <c r="A22" t="s">
        <v>37</v>
      </c>
      <c r="B22" t="s">
        <v>92</v>
      </c>
    </row>
    <row r="23" spans="1:2" x14ac:dyDescent="0.2">
      <c r="A23" t="s">
        <v>33</v>
      </c>
      <c r="B23" t="s">
        <v>92</v>
      </c>
    </row>
    <row r="24" spans="1:2" x14ac:dyDescent="0.2">
      <c r="A24" t="s">
        <v>1</v>
      </c>
      <c r="B24" t="s">
        <v>92</v>
      </c>
    </row>
    <row r="25" spans="1:2" x14ac:dyDescent="0.2">
      <c r="A25" t="s">
        <v>3</v>
      </c>
      <c r="B25" t="s">
        <v>92</v>
      </c>
    </row>
    <row r="26" spans="1:2" x14ac:dyDescent="0.2">
      <c r="A26" t="s">
        <v>2</v>
      </c>
      <c r="B26" t="s">
        <v>92</v>
      </c>
    </row>
    <row r="27" spans="1:2" x14ac:dyDescent="0.2">
      <c r="A27" t="s">
        <v>36</v>
      </c>
      <c r="B27" t="s">
        <v>92</v>
      </c>
    </row>
    <row r="28" spans="1:2" x14ac:dyDescent="0.2">
      <c r="A28" t="s">
        <v>4</v>
      </c>
      <c r="B28" t="s">
        <v>93</v>
      </c>
    </row>
    <row r="29" spans="1:2" x14ac:dyDescent="0.2">
      <c r="A29" t="s">
        <v>11</v>
      </c>
      <c r="B29" t="s">
        <v>93</v>
      </c>
    </row>
    <row r="30" spans="1:2" x14ac:dyDescent="0.2">
      <c r="A30" t="s">
        <v>26</v>
      </c>
      <c r="B30" t="s">
        <v>93</v>
      </c>
    </row>
    <row r="31" spans="1:2" x14ac:dyDescent="0.2">
      <c r="A31" t="s">
        <v>28</v>
      </c>
      <c r="B31" t="s">
        <v>93</v>
      </c>
    </row>
    <row r="32" spans="1:2" x14ac:dyDescent="0.2">
      <c r="A32" t="s">
        <v>18</v>
      </c>
      <c r="B32" t="s">
        <v>93</v>
      </c>
    </row>
    <row r="33" spans="1:2" x14ac:dyDescent="0.2">
      <c r="A33" t="s">
        <v>9</v>
      </c>
      <c r="B33" t="s">
        <v>93</v>
      </c>
    </row>
    <row r="34" spans="1:2" x14ac:dyDescent="0.2">
      <c r="A34" t="s">
        <v>29</v>
      </c>
      <c r="B34" t="s">
        <v>93</v>
      </c>
    </row>
    <row r="35" spans="1:2" x14ac:dyDescent="0.2">
      <c r="A35" t="s">
        <v>7</v>
      </c>
      <c r="B35" t="s">
        <v>93</v>
      </c>
    </row>
    <row r="36" spans="1:2" x14ac:dyDescent="0.2">
      <c r="A36" t="s">
        <v>15</v>
      </c>
      <c r="B36" t="s">
        <v>93</v>
      </c>
    </row>
    <row r="37" spans="1:2" x14ac:dyDescent="0.2">
      <c r="A37" t="s">
        <v>6</v>
      </c>
      <c r="B37" t="s">
        <v>93</v>
      </c>
    </row>
    <row r="38" spans="1:2" x14ac:dyDescent="0.2">
      <c r="A38" t="s">
        <v>8</v>
      </c>
      <c r="B38" t="s">
        <v>93</v>
      </c>
    </row>
    <row r="39" spans="1:2" x14ac:dyDescent="0.2">
      <c r="A39" t="s">
        <v>5</v>
      </c>
      <c r="B39" t="s">
        <v>93</v>
      </c>
    </row>
    <row r="40" spans="1:2" x14ac:dyDescent="0.2">
      <c r="A40" t="s">
        <v>19</v>
      </c>
      <c r="B40" t="s">
        <v>93</v>
      </c>
    </row>
  </sheetData>
  <sortState xmlns:xlrd2="http://schemas.microsoft.com/office/spreadsheetml/2017/richdata2" ref="A2:A40">
    <sortCondition ref="A2:A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D1 3 2 26</vt:lpstr>
      <vt:lpstr>D2 3 3 26</vt:lpstr>
      <vt:lpstr>D3 3 9 26</vt:lpstr>
      <vt:lpstr>check</vt:lpstr>
      <vt:lpstr>D4 3 16 26</vt:lpstr>
      <vt:lpstr>D5 3 23 26</vt:lpstr>
      <vt:lpstr>meta_data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Strand, Jackson</dc:creator>
  <cp:lastModifiedBy>Strand, Jackson</cp:lastModifiedBy>
  <dcterms:created xsi:type="dcterms:W3CDTF">2026-03-03T15:22:00Z</dcterms:created>
  <dcterms:modified xsi:type="dcterms:W3CDTF">2026-03-30T14:47:53Z</dcterms:modified>
</cp:coreProperties>
</file>